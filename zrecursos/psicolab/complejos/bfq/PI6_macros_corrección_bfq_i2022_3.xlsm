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ireccion\mio\II-2021\IRO\"/>
    </mc:Choice>
  </mc:AlternateContent>
  <bookViews>
    <workbookView xWindow="0" yWindow="0" windowWidth="20490" windowHeight="7620" activeTab="4"/>
  </bookViews>
  <sheets>
    <sheet name="Datos" sheetId="2" r:id="rId1"/>
    <sheet name="cal_mas" sheetId="3" r:id="rId2"/>
    <sheet name="Interpretación" sheetId="7" r:id="rId3"/>
    <sheet name="cal_fem" sheetId="5" r:id="rId4"/>
    <sheet name="Ficha_H" sheetId="4" r:id="rId5"/>
    <sheet name="Ficha_M" sheetId="6" r:id="rId6"/>
  </sheets>
  <definedNames>
    <definedName name="AE" localSheetId="3">cal_fem!$AE$6:$AJ$19</definedName>
    <definedName name="AE">cal_mas!$AE$6:$AJ$19</definedName>
    <definedName name="Conclusión">Ficha_H!$M$81:$M$83</definedName>
    <definedName name="Distor" localSheetId="3">cal_fem!$CC$19:$CC$35</definedName>
    <definedName name="Distor">cal_mas!$BK$19:$BK$35</definedName>
    <definedName name="distorf">cal_fem!$CC$18:$CC$36</definedName>
    <definedName name="Distorf2">cal_fem!$CC$19:$CC$35</definedName>
    <definedName name="FACT" localSheetId="3">cal_fem!$CF$19:$CK$35</definedName>
    <definedName name="FACT">cal_mas!$BN$19:$BS$35</definedName>
    <definedName name="FACT2" localSheetId="3">cal_fem!$CE$19:$CK$35</definedName>
    <definedName name="FACT2">cal_mas!$BM$19:$BS$35</definedName>
    <definedName name="FactF">cal_fem!$CF$19:$CK$35</definedName>
    <definedName name="FEM">Ficha_M!$A$1:$I$46</definedName>
    <definedName name="H" localSheetId="3">cal_fem!$AE$8:$AK$21</definedName>
    <definedName name="H">cal_mas!$AE$8:$AK$21</definedName>
    <definedName name="N" localSheetId="3">cal_fem!$AE$6:$AK$19</definedName>
    <definedName name="N">cal_mas!$AE$6:$AK$19</definedName>
    <definedName name="suj" localSheetId="3">cal_fem!$BW$19:$BY$35</definedName>
    <definedName name="suj">cal_mas!$BE$19:$BG$35</definedName>
    <definedName name="sujeto" localSheetId="3">cal_fem!$BW$19:$CD$35</definedName>
    <definedName name="sujeto">cal_mas!$BE$19:$BL$35</definedName>
    <definedName name="sujf">cal_fem!$BW$19:$BZ$35</definedName>
  </definedNames>
  <calcPr calcId="162913"/>
</workbook>
</file>

<file path=xl/calcChain.xml><?xml version="1.0" encoding="utf-8"?>
<calcChain xmlns="http://schemas.openxmlformats.org/spreadsheetml/2006/main">
  <c r="D5" i="6" l="1"/>
  <c r="D5" i="4"/>
  <c r="G7" i="6" l="1"/>
  <c r="D7" i="6"/>
  <c r="D3" i="6"/>
  <c r="D3" i="4"/>
  <c r="EB3" i="5" l="1"/>
  <c r="EA3" i="5"/>
  <c r="DZ3" i="5"/>
  <c r="DY3" i="5"/>
  <c r="DX3" i="5"/>
  <c r="DW3" i="5"/>
  <c r="DV3" i="5"/>
  <c r="DU3" i="5"/>
  <c r="DT3" i="5"/>
  <c r="DS3" i="5"/>
  <c r="DR3" i="5"/>
  <c r="DQ3" i="5"/>
  <c r="DP3" i="5"/>
  <c r="DO3" i="5"/>
  <c r="DN3" i="5"/>
  <c r="DM3" i="5"/>
  <c r="DL3" i="5"/>
  <c r="DK3" i="5"/>
  <c r="DJ3" i="5"/>
  <c r="DI3" i="5"/>
  <c r="DH3" i="5"/>
  <c r="DG3" i="5"/>
  <c r="DF3" i="5"/>
  <c r="DE3" i="5"/>
  <c r="DD3" i="5"/>
  <c r="DC3" i="5"/>
  <c r="DB3" i="5"/>
  <c r="DA3" i="5"/>
  <c r="CZ3" i="5"/>
  <c r="CY3" i="5"/>
  <c r="CX3" i="5"/>
  <c r="CW3" i="5"/>
  <c r="CV3" i="5"/>
  <c r="CU3" i="5"/>
  <c r="CT3" i="5"/>
  <c r="CS3" i="5"/>
  <c r="CR3" i="5"/>
  <c r="CQ3" i="5"/>
  <c r="CP3" i="5"/>
  <c r="CO3" i="5"/>
  <c r="CN3" i="5"/>
  <c r="CM3" i="5"/>
  <c r="CL3" i="5"/>
  <c r="CK3" i="5"/>
  <c r="CJ3" i="5"/>
  <c r="CI3" i="5"/>
  <c r="CH3" i="5"/>
  <c r="CG3" i="5"/>
  <c r="CF3" i="5"/>
  <c r="CE3" i="5"/>
  <c r="CD3" i="5"/>
  <c r="CC3" i="5"/>
  <c r="CB3" i="5"/>
  <c r="CA3" i="5"/>
  <c r="BZ3" i="5"/>
  <c r="BY3" i="5"/>
  <c r="BX3" i="5"/>
  <c r="BW3" i="5"/>
  <c r="BV3" i="5"/>
  <c r="BU3" i="5"/>
  <c r="BT3" i="5"/>
  <c r="BS3" i="5"/>
  <c r="BR3" i="5"/>
  <c r="BQ3" i="5"/>
  <c r="BP3" i="5"/>
  <c r="BO3" i="5"/>
  <c r="BN3" i="5"/>
  <c r="BM3" i="5"/>
  <c r="BL3" i="5"/>
  <c r="BK3" i="5"/>
  <c r="BJ3" i="5"/>
  <c r="BI3" i="5"/>
  <c r="BH3" i="5"/>
  <c r="BG3" i="5"/>
  <c r="BF3" i="5"/>
  <c r="BE3" i="5"/>
  <c r="BD3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B3" i="5"/>
  <c r="A3" i="5"/>
  <c r="D8" i="5" l="1"/>
  <c r="D25" i="6" s="1"/>
  <c r="K8" i="5"/>
  <c r="K9" i="5" s="1" a="1"/>
  <c r="K9" i="5" s="1"/>
  <c r="AP16" i="5" s="1"/>
  <c r="P8" i="5"/>
  <c r="M8" i="5"/>
  <c r="D37" i="6" s="1"/>
  <c r="Q8" i="5"/>
  <c r="E8" i="5"/>
  <c r="B8" i="5"/>
  <c r="G8" i="5"/>
  <c r="N8" i="5"/>
  <c r="A8" i="5"/>
  <c r="D21" i="6" s="1"/>
  <c r="J8" i="5"/>
  <c r="D33" i="6" s="1"/>
  <c r="H8" i="5"/>
  <c r="G7" i="4"/>
  <c r="D7" i="4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DY3" i="3"/>
  <c r="DZ3" i="3"/>
  <c r="EA3" i="3"/>
  <c r="EB3" i="3"/>
  <c r="B3" i="3"/>
  <c r="A3" i="3"/>
  <c r="A8" i="3" l="1"/>
  <c r="G11" i="5"/>
  <c r="D12" i="6" s="1"/>
  <c r="D9" i="5" a="1"/>
  <c r="D9" i="5" s="1"/>
  <c r="AK16" i="5" s="1"/>
  <c r="D11" i="5"/>
  <c r="D11" i="6" s="1"/>
  <c r="E34" i="6"/>
  <c r="D34" i="6"/>
  <c r="A11" i="5"/>
  <c r="D10" i="6" s="1"/>
  <c r="M9" i="5" a="1"/>
  <c r="M9" i="5" s="1"/>
  <c r="E37" i="6" s="1"/>
  <c r="P11" i="5"/>
  <c r="Q11" i="5" s="1" a="1"/>
  <c r="Q11" i="5" s="1"/>
  <c r="A9" i="5" a="1"/>
  <c r="A9" i="5" s="1"/>
  <c r="E21" i="6" s="1"/>
  <c r="M11" i="5"/>
  <c r="D14" i="6" s="1"/>
  <c r="J11" i="5"/>
  <c r="K11" i="5" s="1" a="1"/>
  <c r="K11" i="5" s="1"/>
  <c r="E13" i="6" s="1"/>
  <c r="D71" i="6" s="1"/>
  <c r="J9" i="5" a="1"/>
  <c r="J9" i="5" s="1"/>
  <c r="D22" i="6"/>
  <c r="B9" i="5" a="1"/>
  <c r="B9" i="5" s="1"/>
  <c r="D29" i="6"/>
  <c r="G9" i="5" a="1"/>
  <c r="G9" i="5" s="1"/>
  <c r="E9" i="5" a="1"/>
  <c r="E9" i="5" s="1"/>
  <c r="D26" i="6"/>
  <c r="N9" i="5" a="1"/>
  <c r="N9" i="5" s="1"/>
  <c r="D38" i="6"/>
  <c r="H9" i="5" a="1"/>
  <c r="H9" i="5" s="1"/>
  <c r="D30" i="6"/>
  <c r="B8" i="3"/>
  <c r="H8" i="3"/>
  <c r="E8" i="3"/>
  <c r="G8" i="3"/>
  <c r="N8" i="3"/>
  <c r="P8" i="3"/>
  <c r="Q8" i="3"/>
  <c r="K8" i="3"/>
  <c r="J8" i="3"/>
  <c r="M8" i="3"/>
  <c r="D8" i="3"/>
  <c r="AO16" i="5" l="1"/>
  <c r="E33" i="6"/>
  <c r="A72" i="6" s="1"/>
  <c r="H11" i="5" a="1"/>
  <c r="H11" i="5" s="1"/>
  <c r="Z16" i="5" s="1"/>
  <c r="D18" i="6"/>
  <c r="E11" i="5" a="1"/>
  <c r="E11" i="5" s="1"/>
  <c r="Y16" i="5" s="1"/>
  <c r="B11" i="5" a="1"/>
  <c r="B11" i="5" s="1"/>
  <c r="E10" i="6" s="1"/>
  <c r="D53" i="6" s="1"/>
  <c r="E25" i="6"/>
  <c r="N11" i="5" a="1"/>
  <c r="N11" i="5" s="1"/>
  <c r="E14" i="6" s="1"/>
  <c r="D77" i="6" s="1"/>
  <c r="D13" i="6"/>
  <c r="AQ16" i="5"/>
  <c r="AI16" i="5"/>
  <c r="AL16" i="5"/>
  <c r="E26" i="6"/>
  <c r="AN16" i="5"/>
  <c r="E30" i="6"/>
  <c r="AA16" i="5"/>
  <c r="E29" i="6"/>
  <c r="AM16" i="5"/>
  <c r="E22" i="6"/>
  <c r="A54" i="6" s="1"/>
  <c r="AJ16" i="5"/>
  <c r="AE16" i="5"/>
  <c r="E18" i="6"/>
  <c r="AR16" i="5"/>
  <c r="E38" i="6"/>
  <c r="A78" i="6" s="1"/>
  <c r="G11" i="3"/>
  <c r="H11" i="3" s="1" a="1"/>
  <c r="H11" i="3" s="1"/>
  <c r="D25" i="4"/>
  <c r="D9" i="3" a="1"/>
  <c r="D9" i="3" s="1"/>
  <c r="B9" i="3" a="1"/>
  <c r="B9" i="3" s="1"/>
  <c r="D22" i="4"/>
  <c r="D21" i="4"/>
  <c r="A9" i="3" a="1"/>
  <c r="A9" i="3" s="1"/>
  <c r="H9" i="3" a="1"/>
  <c r="H9" i="3" s="1"/>
  <c r="D30" i="4"/>
  <c r="A11" i="3"/>
  <c r="N9" i="3" a="1"/>
  <c r="N9" i="3" s="1"/>
  <c r="D38" i="4"/>
  <c r="M9" i="3" a="1"/>
  <c r="M9" i="3" s="1"/>
  <c r="D37" i="4"/>
  <c r="D26" i="4"/>
  <c r="E9" i="3" a="1"/>
  <c r="E9" i="3" s="1"/>
  <c r="J11" i="3"/>
  <c r="D34" i="4"/>
  <c r="K9" i="3" a="1"/>
  <c r="K9" i="3" s="1"/>
  <c r="D33" i="4"/>
  <c r="J9" i="3" a="1"/>
  <c r="J9" i="3" s="1"/>
  <c r="G9" i="3" a="1"/>
  <c r="G9" i="3" s="1"/>
  <c r="D29" i="4"/>
  <c r="M11" i="3"/>
  <c r="P11" i="3"/>
  <c r="D11" i="3"/>
  <c r="A66" i="6" l="1"/>
  <c r="A83" i="6"/>
  <c r="A49" i="6"/>
  <c r="A60" i="6"/>
  <c r="E12" i="6"/>
  <c r="D65" i="6" s="1"/>
  <c r="E11" i="6"/>
  <c r="D59" i="6" s="1"/>
  <c r="X16" i="5"/>
  <c r="AB16" i="5"/>
  <c r="D12" i="4"/>
  <c r="AP16" i="3"/>
  <c r="E34" i="4"/>
  <c r="E38" i="4"/>
  <c r="AR16" i="3"/>
  <c r="E21" i="4"/>
  <c r="AI16" i="3"/>
  <c r="AK16" i="3"/>
  <c r="E25" i="4"/>
  <c r="E12" i="4"/>
  <c r="D65" i="4" s="1"/>
  <c r="Z16" i="3"/>
  <c r="D10" i="4"/>
  <c r="B11" i="3" a="1"/>
  <c r="B11" i="3" s="1"/>
  <c r="D18" i="4"/>
  <c r="Q11" i="3" a="1"/>
  <c r="Q11" i="3" s="1"/>
  <c r="E18" i="4" s="1"/>
  <c r="A83" i="4" s="1"/>
  <c r="E11" i="3" a="1"/>
  <c r="E11" i="3" s="1"/>
  <c r="D11" i="4"/>
  <c r="AL16" i="3"/>
  <c r="E26" i="4"/>
  <c r="AN16" i="3"/>
  <c r="E30" i="4"/>
  <c r="AJ16" i="3"/>
  <c r="E22" i="4"/>
  <c r="D14" i="4"/>
  <c r="N11" i="3" a="1"/>
  <c r="N11" i="3" s="1"/>
  <c r="E29" i="4"/>
  <c r="AM16" i="3"/>
  <c r="AO16" i="3"/>
  <c r="E33" i="4"/>
  <c r="D13" i="4"/>
  <c r="K11" i="3" a="1"/>
  <c r="K11" i="3" s="1"/>
  <c r="E37" i="4"/>
  <c r="AQ16" i="3"/>
  <c r="A78" i="4" l="1"/>
  <c r="A60" i="4"/>
  <c r="A66" i="4"/>
  <c r="A72" i="4"/>
  <c r="A54" i="4"/>
  <c r="E13" i="4"/>
  <c r="D71" i="4" s="1"/>
  <c r="AA16" i="3"/>
  <c r="AE16" i="3"/>
  <c r="A49" i="4"/>
  <c r="Y16" i="3"/>
  <c r="E11" i="4"/>
  <c r="D59" i="4" s="1"/>
  <c r="AB16" i="3"/>
  <c r="E14" i="4"/>
  <c r="D77" i="4" s="1"/>
  <c r="X16" i="3"/>
  <c r="E10" i="4"/>
  <c r="D53" i="4" s="1"/>
</calcChain>
</file>

<file path=xl/sharedStrings.xml><?xml version="1.0" encoding="utf-8"?>
<sst xmlns="http://schemas.openxmlformats.org/spreadsheetml/2006/main" count="1724" uniqueCount="313">
  <si>
    <t>PD</t>
  </si>
  <si>
    <t>Preguntas del test</t>
  </si>
  <si>
    <t>1. Creo que soy una persona activa y vigorosa.</t>
  </si>
  <si>
    <t>2. No me gusta hacer las cosas razonando demasiado sobre ellas</t>
  </si>
  <si>
    <t>3. Tiendo a involucrarme demasiado cuando alguien me cuenta sus problemas</t>
  </si>
  <si>
    <t>4. No me preocupan especialmente las consecuencias que mis actos puedan tener sobre los demás.</t>
  </si>
  <si>
    <t>5. Estoy siempre informado sobre lo que sucede en el mundo.</t>
  </si>
  <si>
    <t>6. Nunca he dicho una mentira.</t>
  </si>
  <si>
    <t>7. No me gustan las actividades que exigen empeñarse y esforzarse hasta el agotamiento.</t>
  </si>
  <si>
    <t>8. Tiendo a ser muy reflexivo.</t>
  </si>
  <si>
    <t>9. No suelo sentirme tenso.</t>
  </si>
  <si>
    <t>10. Noto fácilmente cuando las personas necesitan mi ayuda.</t>
  </si>
  <si>
    <t>11. No recuerdo fácilmente los números de teléfono.</t>
  </si>
  <si>
    <t>12. Siempre he estado completamente de acuerdo con los demás.</t>
  </si>
  <si>
    <t>13. Generalmente tiendo a imponerme a las otras personas, más que ser complacientes con ellas.</t>
  </si>
  <si>
    <t>14. Ante los obstáculos grandes, no conviene empeñarse en conseguir los objetivos propios.</t>
  </si>
  <si>
    <t>15. Soy más bien susceptible.</t>
  </si>
  <si>
    <t>16. No es necesario comportarse cordialmente con todas las personas.</t>
  </si>
  <si>
    <t>17. No me siento muy atraído por las situaciones nuevas e inesperadas.</t>
  </si>
  <si>
    <t>18. Siempre he resuelto de inmediato todos los problemas que he encontrado.</t>
  </si>
  <si>
    <t>19. No me gustan los ambientes de trabajo en los que hay mucha competitividad.</t>
  </si>
  <si>
    <t>20. Llevo a cabo las decisiones que he tomado.</t>
  </si>
  <si>
    <t>21. No me es fácil que algo o alguien me haga perder la paciencia.</t>
  </si>
  <si>
    <t>22. Me gusta mezclarme con la gente.</t>
  </si>
  <si>
    <t>23. Toda novedad me entusiasma.</t>
  </si>
  <si>
    <t>24. Nunca me he asustado ante un peligro, aunque fuera grave.</t>
  </si>
  <si>
    <t>25. Tiendo a decidir rápidamente.</t>
  </si>
  <si>
    <t>26. Antes de tomar cualquier iniciativa, me tomo tiempo para valorar las posibles consecuencias.</t>
  </si>
  <si>
    <t>27. No creo ser una persona ansiosa.</t>
  </si>
  <si>
    <t>28. No suelo saber cómo actuar ante las desgracias de mis amigos.</t>
  </si>
  <si>
    <t>29. Tengo muy buena memoria.</t>
  </si>
  <si>
    <t>30. Siempre he estado absolutamente seguro de todas mis acciones.</t>
  </si>
  <si>
    <t>31. En mi trabajo no le doy especial importancia a rendir mejor que los demás.</t>
  </si>
  <si>
    <t>32. No me gusta vivir de manera demasiado metódica y ordenada.</t>
  </si>
  <si>
    <t>33. Me siento vulnerable a las críticas de los demás.</t>
  </si>
  <si>
    <t>34. Si es preciso, no tengo inconveniente en ayudar a un desconocido.</t>
  </si>
  <si>
    <t>35. No me atraen las situaciones en constante cambio.</t>
  </si>
  <si>
    <t>36. Nunca he desobedecido las órdenes recibidas, ni siquiera siendo niño.</t>
  </si>
  <si>
    <t>37. No me gustan aquellas actividades en las que es preciso ir de un sitio para otro y moverse continuamente.</t>
  </si>
  <si>
    <t>38. No creo que sea preciso esforzarse más allá del límite de las propias fuerzas, incluso aunque haya que cumplir algún plazo.</t>
  </si>
  <si>
    <t>39. Estoy dispuesto a esforzarme al máximo con tal de destacar.</t>
  </si>
  <si>
    <t>40. Si tengo que criticar a los demás, lo hago, sobre todo cuando se lo merecen.</t>
  </si>
  <si>
    <t>41, Creo que no hay valores y costumbres totalmente válidos y eternos.</t>
  </si>
  <si>
    <t>42. Para enfrentarse a un problema no es efectivo tener presentes muchos puntos de vista diferentes.</t>
  </si>
  <si>
    <t>43. En general no me irrito, ni siquiera en situaciones en las que tendría motivos suficientes para ello.</t>
  </si>
  <si>
    <t>44. Si me equivoco, siempre me resulta fácil admitirlo.</t>
  </si>
  <si>
    <t>45. Cuando me enfado manifiesto mi mal humor.</t>
  </si>
  <si>
    <t>46. Llevo a cabo lo que he decidido, aunque me suponga un esfuerzo no previsto.</t>
  </si>
  <si>
    <t>47. No pierdo tiempo en aprender cosas que no estén estrictamente relacionadas con mi campo de intereses</t>
  </si>
  <si>
    <t>48. Casi siempre sé cómo ajustarme a las exigencias de los demás.</t>
  </si>
  <si>
    <t>49. Llevo adelante las tareas emprendidas, aunque los resultados iniciales parezcan negativos.</t>
  </si>
  <si>
    <t>50. No suelo sentirme sólo y triste.</t>
  </si>
  <si>
    <t>51. No me gusta hacer varias cosas al mismo tiempo.</t>
  </si>
  <si>
    <t>52. Habitualmente muestro una actitud cordial, incluso con las personas que me provocan una cierta antipatía.</t>
  </si>
  <si>
    <t>53. A menudo estoy completamente absorbido por mis compromisos y actividades.</t>
  </si>
  <si>
    <t>54. Cuando algo entorpece mis proyectos, no insisto en conseguirlos e intento otros.</t>
  </si>
  <si>
    <t>55. No me interesan los programas de televisión que me exigen esfuerzo o compromiso.</t>
  </si>
  <si>
    <t>56. Soy una persona que siempre busca nuevas experiencias.</t>
  </si>
  <si>
    <t>57. Me molesta mucho el desorden.</t>
  </si>
  <si>
    <t>58. No suelo reaccionar de un modo impulsivo.</t>
  </si>
  <si>
    <t>59. Siempre encuentro buenos argumentos para sostener mis propuestas y convencer a los demás de su validez.</t>
  </si>
  <si>
    <t>60. Me gusta estar bien informado, incluso sobre temas alejados de mi ámbito de competencia.</t>
  </si>
  <si>
    <t>61. No doy mucha importancia a demostrar mis capacidades.</t>
  </si>
  <si>
    <t>62. Mi humor pasa por altibajos frecuentes.</t>
  </si>
  <si>
    <t>63. A veces me enfado por cosas de poca importancia.</t>
  </si>
  <si>
    <t>64. No hago fácilmente un préstamo, ni siquiera a personas que conozco bien.</t>
  </si>
  <si>
    <t>65. No me gusta estar en grupos numerosos.</t>
  </si>
  <si>
    <t>66. No suelo planificar mi vida hasta en los más pequeños detalles.</t>
  </si>
  <si>
    <t>67. Nunca me han interesado la vida y costumbres de otros pueblos.</t>
  </si>
  <si>
    <t>68. No dudo en decir lo que pienso.</t>
  </si>
  <si>
    <t>69. A menudo me noto inquieto.</t>
  </si>
  <si>
    <t>70. En general no es conveniente mostrarse sensible a los problemas de los demás.</t>
  </si>
  <si>
    <t>71. En las reuniones no me preocupo especialmente por llamar la atención.</t>
  </si>
  <si>
    <t>72. Creo que todo problema puede ser resuelto de varias maneras.</t>
  </si>
  <si>
    <t>73. Si creo que tengo razón, intento convencer a los demás aunque me cueste tiempo y energía.</t>
  </si>
  <si>
    <t>74. Normalmente tiendo a no fiarme mucho de mi prójimo.</t>
  </si>
  <si>
    <t>75. Difícilmente desisto de una actividad que he comenzado.</t>
  </si>
  <si>
    <t>76. No suelo perder la calma.</t>
  </si>
  <si>
    <t>77. No dedico mucho tiempo a la lectura.</t>
  </si>
  <si>
    <t>78. Normalmente no entablo conversación con los compañeros ocasionales de viaje.</t>
  </si>
  <si>
    <t>79. A veces soy tan escrupuloso que puedo resultar pesado.</t>
  </si>
  <si>
    <t>80. Siempre me he comportado de modo totalmente desinteresado.</t>
  </si>
  <si>
    <t>81. No tengo dificultad para controlar mis sentimientos.</t>
  </si>
  <si>
    <t>82. Nunca he sido un perfeccionista.</t>
  </si>
  <si>
    <t>83. En diversas circunstancias me he comportado impulsivamente.</t>
  </si>
  <si>
    <t>84. Nunca he discutido o peleado con otra persona.</t>
  </si>
  <si>
    <t>85. Es inútil empeñarse totalmente en algo, porque la perfección no se alcanza nunca.</t>
  </si>
  <si>
    <t>86. Tengo en gran consideración el punto de vista de mis compañeros.</t>
  </si>
  <si>
    <t>87. Siempre me han apasionado las ciencias.</t>
  </si>
  <si>
    <t>88. Me resulta fácil hacer confidencias a los demás.</t>
  </si>
  <si>
    <t>89. Normalmente no reacciono de modo exagerado, ni siquiera ante las emociones fuertes.</t>
  </si>
  <si>
    <t>90. No creo que conocer la historia sirva de mucho.</t>
  </si>
  <si>
    <t>91. No suelo reaccionar a las provocaciones.</t>
  </si>
  <si>
    <t>92. Nada de lo que he hecho podría haberlo hecho mejor.</t>
  </si>
  <si>
    <t>93. Creo que todas las personas tienen algo de bueno.</t>
  </si>
  <si>
    <t>94. Me resulta fácil hablar con personas que no conozco.</t>
  </si>
  <si>
    <t>95. No creo que haya posibilidad de convencer a otro cuando no piensa como nosotros.</t>
  </si>
  <si>
    <t>96. Si fracaso en algo, lo intento de nuevo hasta conseguirlo.</t>
  </si>
  <si>
    <t>97. Siempre me han fascinado las culturas muy diferentes a la mía.</t>
  </si>
  <si>
    <t>98. A menudo me siento nervioso.</t>
  </si>
  <si>
    <t>99. No soy una persona habladora.</t>
  </si>
  <si>
    <t>100. No merece mucho la pena ajustarse a las exigencias de los compañeros, cuando ello supone una disminución del propio ritmo de trabajo.</t>
  </si>
  <si>
    <t>101. Siempre he comprendido de inmediato todo lo que he leído.</t>
  </si>
  <si>
    <t>102. Siempre estoy seguro de mí mismo,</t>
  </si>
  <si>
    <t>103. No comprendo qué empuja a las personas a comportarse de modo diferente a la norma.</t>
  </si>
  <si>
    <t>104. Me molesta mucho que me interrumpan mientras estoy haciendo algo que me interesa.</t>
  </si>
  <si>
    <t>105. Me gusta mucho ver programas de información cultural o científica.</t>
  </si>
  <si>
    <t>106. Antes de entregar un trabajo, dedico mucho tiempo a revisarlo.</t>
  </si>
  <si>
    <t>107. Si algo no se desarrolla tan pronto como deseaba, no insisto demasiado.</t>
  </si>
  <si>
    <t>108. Si es preciso, no dudo en decir a los demás que se metan en sus asuntos.</t>
  </si>
  <si>
    <t>109. Si alguna acción mía puede llegar a desagradar a alguien, seguramente dejo de hacerla.</t>
  </si>
  <si>
    <t>110. Cuando un trabajo está terminado, no me pongo a repasarlo en sus mínimos detalles.</t>
  </si>
  <si>
    <t>111. Estoy convencido de que se obtienen mejores resultados cooperando con los demás, que compitiendo.</t>
  </si>
  <si>
    <t>112. Prefiero leer a practicar alguna actividad deportiva.</t>
  </si>
  <si>
    <t>113. Nunca he criticado a otra persona.</t>
  </si>
  <si>
    <t>114. Afronto todas mis actividades y experiencias con gran entusiasmo,</t>
  </si>
  <si>
    <t>115. Sólo quedo satisfecho cuando veo los resultados de lo que había programado.</t>
  </si>
  <si>
    <t>116. Cuando me critican, no puedo evitar exigir explicaciones.</t>
  </si>
  <si>
    <t>117. No se obtiene nada en la vida sin ser competitivo.</t>
  </si>
  <si>
    <t>118. Siempre intento ver las cosas desde distintos enfoques.</t>
  </si>
  <si>
    <t>119. Incluso en situaciones muy difíciles, no pierdo el control.</t>
  </si>
  <si>
    <t>120. A veces incluso pequeñas dificultades pueden llegar a preocuparme.</t>
  </si>
  <si>
    <t>121. Generalmente no me comporto de manera abierta con los extraños.</t>
  </si>
  <si>
    <t>122. No suelo cambiar de humor bruscamente.</t>
  </si>
  <si>
    <t>123. No me gustan las actividades que implican riesgo.</t>
  </si>
  <si>
    <t>124. Nunca he tenido mucho interés por los temas científicos o filosóficos.</t>
  </si>
  <si>
    <t>125. Cuando empiezo a hacer algo, nunca sé si lo terminaré.</t>
  </si>
  <si>
    <t>126. Generalmente confío en los demás y en sus intenciones.</t>
  </si>
  <si>
    <t>127. Siempre he mostrado simpatía por todas las personas que he conocido.</t>
  </si>
  <si>
    <t>128. Con ciertas personas no es necesario ser demasiado tolerante.</t>
  </si>
  <si>
    <t>129. Suelo cuidar todas las cosas hasta en sus mínimos detalles.</t>
  </si>
  <si>
    <t>130. No es trabajando en grupo como se pueden desarrollar mejor las propias capacidades.</t>
  </si>
  <si>
    <t>131. No suelo buscar soluciones nuevas a problemas para los que ya existe una solución eficaz.</t>
  </si>
  <si>
    <t>132. No creo que sea útil perder tiempo repasando varias veces el trabajo hecho.</t>
  </si>
  <si>
    <t>Indique su año de nacimiento</t>
  </si>
  <si>
    <t>Nacionalidad</t>
  </si>
  <si>
    <t>Comentarios</t>
  </si>
  <si>
    <t>código de estudiante (solamente números)</t>
  </si>
  <si>
    <t>Marca temporal</t>
  </si>
  <si>
    <t>Preguntas2</t>
  </si>
  <si>
    <t>Dinamismo</t>
  </si>
  <si>
    <t>Dominancia</t>
  </si>
  <si>
    <t>Energía</t>
  </si>
  <si>
    <t>Cooperación</t>
  </si>
  <si>
    <t>Cordialidad</t>
  </si>
  <si>
    <t>Afabilidad</t>
  </si>
  <si>
    <t>Escrupulosidad</t>
  </si>
  <si>
    <t xml:space="preserve">Perseverancia </t>
  </si>
  <si>
    <t>Tesón</t>
  </si>
  <si>
    <t>C. emociones</t>
  </si>
  <si>
    <t>C. impulsos</t>
  </si>
  <si>
    <t>Estabilidad emocional</t>
  </si>
  <si>
    <t>A. cultura</t>
  </si>
  <si>
    <t>A. experiencia</t>
  </si>
  <si>
    <t>Apertura Mental</t>
  </si>
  <si>
    <t>Distorsión</t>
  </si>
  <si>
    <t>Yo</t>
  </si>
  <si>
    <t>Otros</t>
  </si>
  <si>
    <t>Perfil automatizado del BFQ</t>
  </si>
  <si>
    <t>Identificación:</t>
  </si>
  <si>
    <t>Sexo:</t>
  </si>
  <si>
    <t>Año de nacimiento:</t>
  </si>
  <si>
    <t>Varones</t>
  </si>
  <si>
    <t>Pc</t>
  </si>
  <si>
    <t>Di</t>
  </si>
  <si>
    <t>pc</t>
  </si>
  <si>
    <t>A</t>
  </si>
  <si>
    <t>Do</t>
  </si>
  <si>
    <t>Cp</t>
  </si>
  <si>
    <t>Co</t>
  </si>
  <si>
    <t>Es</t>
  </si>
  <si>
    <t>Pe</t>
  </si>
  <si>
    <t>Ce</t>
  </si>
  <si>
    <t>Ci</t>
  </si>
  <si>
    <t>Ac</t>
  </si>
  <si>
    <t>Ae</t>
  </si>
  <si>
    <t>Eepc</t>
  </si>
  <si>
    <t>Ampc</t>
  </si>
  <si>
    <t>Epc</t>
  </si>
  <si>
    <t>Apc</t>
  </si>
  <si>
    <t>Tpc</t>
  </si>
  <si>
    <t>Dpc</t>
  </si>
  <si>
    <t>E</t>
  </si>
  <si>
    <t>T</t>
  </si>
  <si>
    <t>EE</t>
  </si>
  <si>
    <t>AM</t>
  </si>
  <si>
    <t>D</t>
  </si>
  <si>
    <t>DIMENSIONES</t>
  </si>
  <si>
    <t>PC</t>
  </si>
  <si>
    <t>Apertura mental</t>
  </si>
  <si>
    <t>ENERGÍA</t>
  </si>
  <si>
    <t>AFABILIDAD</t>
  </si>
  <si>
    <t>TESÓN</t>
  </si>
  <si>
    <t>Perseverancia</t>
  </si>
  <si>
    <t>ESTABILIDAD EMOCIONAL</t>
  </si>
  <si>
    <t>Control emociones</t>
  </si>
  <si>
    <t>Control impulsos</t>
  </si>
  <si>
    <t>APERTURA</t>
  </si>
  <si>
    <t>a la cultura</t>
  </si>
  <si>
    <t>a la experiencia</t>
  </si>
  <si>
    <t>sujeto</t>
  </si>
  <si>
    <t>s</t>
  </si>
  <si>
    <t>5 grandes</t>
  </si>
  <si>
    <t>suj</t>
  </si>
  <si>
    <t>Mujeres</t>
  </si>
  <si>
    <t>NO ES MUJER</t>
  </si>
  <si>
    <t>NO ES HOMBRE</t>
  </si>
  <si>
    <t>Nombre y apellidos</t>
  </si>
  <si>
    <t>Sexo</t>
  </si>
  <si>
    <t>Nombre:</t>
  </si>
  <si>
    <t>Informe del test BFQ</t>
  </si>
  <si>
    <t>Perfil libre de sesgo en sentido positivo o negativo</t>
  </si>
  <si>
    <t>Muestra un ligero sesgo negativo en las respuestas, autocrítico, algunos comportamiento de tipo poco social</t>
  </si>
  <si>
    <t>Perfil falseado en sentido negativo, actitud bastante autocrítica, implicado en conductas poco sociales</t>
  </si>
  <si>
    <t>Perfil falseado en sentido negativo, actitud muy autocrítica, implicado en conductas poco sociales</t>
  </si>
  <si>
    <t>El nivel global de la dimensión es</t>
  </si>
  <si>
    <t xml:space="preserve"> muy alto</t>
  </si>
  <si>
    <t xml:space="preserve"> alto</t>
  </si>
  <si>
    <t xml:space="preserve"> medio-alto</t>
  </si>
  <si>
    <t xml:space="preserve"> medio</t>
  </si>
  <si>
    <t xml:space="preserve"> medio-bajo</t>
  </si>
  <si>
    <t xml:space="preserve"> bajo</t>
  </si>
  <si>
    <t xml:space="preserve"> muy bajo</t>
  </si>
  <si>
    <t>distorsión</t>
  </si>
  <si>
    <t>nivel factor general</t>
  </si>
  <si>
    <t>DI</t>
  </si>
  <si>
    <t xml:space="preserve">Podemos considerar que se trata de una persona muy dinámica, activa, enérgica y que goza de ser proactiva </t>
  </si>
  <si>
    <t>Podemos considerar que se trata de una persona bastante dinámica, activa, enérgica y que goza de ser proactiva</t>
  </si>
  <si>
    <t>Podemos considerar que se trata de una persona medianamente dinámica, activa o enérgica, que suele gozar de ser proactiva</t>
  </si>
  <si>
    <t>Podemos considerar que se trata de una persona poco dinámica, activa o enérgica, a la que no se le facilita el habla y tiende a ser poco entusiasta</t>
  </si>
  <si>
    <t>Podemos considerar que se trata de una persona muy poco dinámica, activa o enérgica, a la que no se le facilita el habla y tiende a ser muy poco entusiasta</t>
  </si>
  <si>
    <t>DO</t>
  </si>
  <si>
    <t>Además, se le puede describir como muy dominante y poco recesiva, siempre quiere tener el control, así como le gusta ser líder.</t>
  </si>
  <si>
    <t>Además, se le puede describir como bastante dominante y poco recesiva, que le gusta tener el control y ser líder.</t>
  </si>
  <si>
    <t>Además, se le puede describir como medianamente dominante, suele reaccionar de forma asertiva.</t>
  </si>
  <si>
    <t>Además, se le puede describir como poco dominante, suele seguir órdenes y acatar los mandatos de otros.</t>
  </si>
  <si>
    <t>Además, se le puede describir como muy poco dominante, suele seguir órdenes y acatar los mandatos de otros.</t>
  </si>
  <si>
    <r>
      <t xml:space="preserve">Afabilidad
</t>
    </r>
    <r>
      <rPr>
        <sz val="11"/>
        <color theme="1"/>
        <rFont val="Calibri"/>
        <family val="2"/>
        <scheme val="minor"/>
      </rPr>
      <t>La cordialidad describe la actitud de una persona hacia los demás.</t>
    </r>
  </si>
  <si>
    <t>CO</t>
  </si>
  <si>
    <t>CP</t>
  </si>
  <si>
    <t>Se le considera una persona que suele ser amable y empática, a menudo disfruta los trabajos grupales o el trabajo cooperativo</t>
  </si>
  <si>
    <t>Se le considera una persona poco cooperativa y poco empática</t>
  </si>
  <si>
    <t>Se le considera una persona muy poco cooperativa y muy poco empática</t>
  </si>
  <si>
    <t>Por otra parte, suele ser una persona muy cordial, altruista, amigable, generosa y amable.</t>
  </si>
  <si>
    <t>Por otra parte, suele ser una persona bastante cordial, altruista, amigable, generosa y amable.</t>
  </si>
  <si>
    <t>Por otra parte, generalmente es una persona medianamente cordial, altruista, generosa y amable.</t>
  </si>
  <si>
    <t>Por otra parte, suele ser una persona poco cordial, poco altruista, poco amigable, poco generosa y poco amable.</t>
  </si>
  <si>
    <t>Por otra parte, suele ser una persona muy poco cordial, altruista o amigable, así como muy poco amable.</t>
  </si>
  <si>
    <r>
      <t xml:space="preserve">Energía
</t>
    </r>
    <r>
      <rPr>
        <sz val="11"/>
        <color theme="1"/>
        <rFont val="Calibri"/>
        <family val="2"/>
        <scheme val="minor"/>
      </rPr>
      <t xml:space="preserve">La extraversión describe el grado de energía y entusiasmo de una persona al tratar con los demás. </t>
    </r>
  </si>
  <si>
    <r>
      <rPr>
        <b/>
        <sz val="11"/>
        <color theme="1"/>
        <rFont val="Calibri"/>
        <family val="2"/>
        <scheme val="minor"/>
      </rPr>
      <t xml:space="preserve">Tesón </t>
    </r>
    <r>
      <rPr>
        <sz val="11"/>
        <color theme="1"/>
        <rFont val="Calibri"/>
        <family val="2"/>
        <scheme val="minor"/>
      </rPr>
      <t xml:space="preserve">
Describe lo organizado, motivado y cuidadoso de una persona en su vida y consecución de metas.
</t>
    </r>
  </si>
  <si>
    <t>ES</t>
  </si>
  <si>
    <t>PE</t>
  </si>
  <si>
    <t>Es muy perseverante y posee un firme ideal sobre no abandonar sus labores; en ocasiones esto puede ser positivo y en otras no tanto.</t>
  </si>
  <si>
    <t>Es bastante perseverante y posee un firme ideal sobre no abandonar sus labores.</t>
  </si>
  <si>
    <t>Suele perseverar e insistir en sus objetivos.</t>
  </si>
  <si>
    <t>Suele presentar poca perseverancia y tenacidad en la consecución de metas.</t>
  </si>
  <si>
    <t>Suele presentar muy poca perseverancia y tenacidad en la consecución de metas.</t>
  </si>
  <si>
    <r>
      <rPr>
        <b/>
        <sz val="11"/>
        <color theme="1"/>
        <rFont val="Calibri"/>
        <family val="2"/>
        <scheme val="minor"/>
      </rPr>
      <t xml:space="preserve"> Estabilidad emocional </t>
    </r>
    <r>
      <rPr>
        <sz val="11"/>
        <color theme="1"/>
        <rFont val="Calibri"/>
        <family val="2"/>
        <scheme val="minor"/>
      </rPr>
      <t xml:space="preserve">
Indica la forma que tiene la persona de reaccionar a las presiones y el estrés cotidianos.</t>
    </r>
  </si>
  <si>
    <t>CE</t>
  </si>
  <si>
    <t>CI</t>
  </si>
  <si>
    <t>Podríamos describirle como una persona que suele afrontar las situaciones que se presentan</t>
  </si>
  <si>
    <t>Podríamos describirle como una persona ansiosa, vulnerable, emotiva, poco capaz de dominar sus emociones</t>
  </si>
  <si>
    <t>Podríamos describirle como una persona muy poco capaz de dominar sus emociones</t>
  </si>
  <si>
    <t>Igualmente, se le considera una persona que tiende a controlar muy bien sus impulsos, siempre es paciente y poco irritable.</t>
  </si>
  <si>
    <t>Igualmente, se le considera una persona que tiende a controlar bastante bien sus impulsos, suele ser paciente y poco irritable.</t>
  </si>
  <si>
    <t>Igualmente, se le considera una persona que suele ser impulsiva e irritable.</t>
  </si>
  <si>
    <t>Igualmente, se le considera una persona que suele ser muy impulsiva e irritable.</t>
  </si>
  <si>
    <t>Igualmente, se le considera una persona que suele controlar sus emociones, a veces es paciente y poco irritable.</t>
  </si>
  <si>
    <t>Podríamos describirle como una persona muy poco ansiosa, que casi siempre tiene recursos para afrontar situaciones que demanden un desgaste emocional</t>
  </si>
  <si>
    <t>Podríamos describirle como una persona poco ansiosa, que casi siempre tiene recursos para afrontar situaciones que demanden un desgaste emocional</t>
  </si>
  <si>
    <t>AC</t>
  </si>
  <si>
    <t>AE</t>
  </si>
  <si>
    <r>
      <rPr>
        <b/>
        <sz val="11"/>
        <color theme="1"/>
        <rFont val="Calibri"/>
        <family val="2"/>
        <scheme val="minor"/>
      </rPr>
      <t>Apertura mental</t>
    </r>
    <r>
      <rPr>
        <sz val="11"/>
        <color theme="1"/>
        <rFont val="Calibri"/>
        <family val="2"/>
        <scheme val="minor"/>
      </rPr>
      <t xml:space="preserve">
Propensión a participar de culturas y experiencias novedosas o quedarse en lo cotidiano conocido.</t>
    </r>
  </si>
  <si>
    <t>Se trata de una persona muy abierta a la cultura y costumbres distintas</t>
  </si>
  <si>
    <t>Se trata de una persona bastante abierta a la cultura y costumbres distintas</t>
  </si>
  <si>
    <t>Se trata de una persona que suele estar abierta a la cultura y costumbres distintas</t>
  </si>
  <si>
    <t>Se trata de una persona poco abierta a la cultura y costumbres distintas</t>
  </si>
  <si>
    <t>Se trata de una persona muy poco abierta a la cultura y costumbres distintas</t>
  </si>
  <si>
    <t>Además, se le considera una persona muy abierta a lo nuevo, ya sean ideas como valores.</t>
  </si>
  <si>
    <t>Además, se le considera una persona bastante abierta a lo nuevo, ya sean ideas como valores.</t>
  </si>
  <si>
    <t>Además, se le considera una persona que moderadamente abierta a lo nuevo, ya sean ideas como valores.</t>
  </si>
  <si>
    <t>Además, se le considera una persona poco abierta a lo nuevo, ya sean ideas como valores.</t>
  </si>
  <si>
    <t>Además, se le considera una persona muy poco abierta a lo nuevo, ya sean ideas como valores.</t>
  </si>
  <si>
    <t>Interp1</t>
  </si>
  <si>
    <t>El nivel de distorsión nos hace dudar de los resultados, se debería programar una entrevista complementaria.</t>
  </si>
  <si>
    <t>Por lo tanto, se recomienda que pueda acudir al gabinete psicológico a recibir asesoramiento.</t>
  </si>
  <si>
    <t>Por lo tanto, se recomienda que pueda acudir al gabinete psicológico a recibir tratamiento.</t>
  </si>
  <si>
    <t>Su puntuación revela que es una persona muy reflexiva, escrupulosa, ordenada y diligente</t>
  </si>
  <si>
    <t>Su puntuación revela que es una persona bastante reflexiva, escrupulosa, ordenada y diligente</t>
  </si>
  <si>
    <t>Su puntuación revela que es una persona que en ocasiones es reflexiva, escrupulosa, ordenada y diligente</t>
  </si>
  <si>
    <t>Su puntuación revela que es una persona poco reflexiva, escrupulosa, ordenada o diligente</t>
  </si>
  <si>
    <t>Su puntuación revela que es una persona muy poco reflexiva, escrupulosa, ordenada o diligente</t>
  </si>
  <si>
    <t>El nivel de distorsión es algo elevado, por lo que podemos confiar en los resultados del test con ciertas reservas.</t>
  </si>
  <si>
    <t>El nivel de distorsión es adecuado, por lo que podemos confiar en los resultados del test.</t>
  </si>
  <si>
    <t>Conclusiones del test</t>
  </si>
  <si>
    <t>Entrevista personal</t>
  </si>
  <si>
    <t>Conclusiones finales y recomendaciones</t>
  </si>
  <si>
    <t>Por lo tanto, se considera que tiene un perfil adecuado y no debería mostrar grandes dificultades en su vida diaria o prácticas.</t>
  </si>
  <si>
    <t>Se le considera una persona muy cooperativa, altruista, amigable, generosa y empática</t>
  </si>
  <si>
    <t>Se le considera una persona bastante cooperativa, altruista, amigable, generosa y empática</t>
  </si>
  <si>
    <t>Perfil falseado en sentido positivo, intento de dar una imagen desproporcionadamente favorable, visión místico religiosa, utiliza la negación como mecanismo de defensa</t>
  </si>
  <si>
    <t>Perfil falseado en sentido positivo, intento de dar una imagen más favorable, visión místico religiosa, utiliza la negación como mecanismo de defensa</t>
  </si>
  <si>
    <t>Sesgo positivo, tiende a negar defectos personales o es una persona algo ingenua</t>
  </si>
  <si>
    <t>Email</t>
  </si>
  <si>
    <t xml:space="preserve">Ingresó y se quedó en silencio unos 3 minutos. Antes de poner la cámara, fue a cambiarse de polera.
Tiene aficiones un poco solitarias, destacando videojuegos y natación, así como baila caporales, aunque últimamente no tanto.
Adopta una actitud pasiva ante las dificultades, eludiendo conflictos y cargándose con trabajo si es necesario.
Es una persona tímida, a la que le cuesta entablar relaciones de confianza.
Indica ser paciente, y que se deja llevar por la opinión de los demás
</t>
  </si>
  <si>
    <t>Es una persona muy preocupada por la imagen que da y las opiniones de los demás, y suele evitar confrontar los problemas interpersonales.
Va a tender a plegarse a las opiniones ajenas, por lo que puede ser problemático si necesita desarrollar un criterio propio o si el ambiente de trabajo es tenso.
Se espera que pueda desarrollar sus actividades sin grandes dificultades, sobre todo si le acompañan para darle más seguridad en sí mismo.</t>
  </si>
  <si>
    <t>Espera 2 minutos antes de hablar, y luego pide 5 minutos alegando que acaba de salir de la ducha.
Tiene hábitos solitarios, dependiendo en exceso de la familia, que es su principal apoyo. En la adaptación a Cochabamba y la universidad, se ayudó de su hermana, quien está en el mismo curso.
En los trabajos en grupo, suele cargarse de actividades adicionales y evita confrontar a los demás si hay problemas. Utiliza técnicas de afrontamiento centradas en el problema, y no en la emoción, lo cual le termina afectando.
Tiene facilidad al trato, si bien termina plegándose a las opiniones de los demás.</t>
  </si>
  <si>
    <t>Puede mostrar dificultades al adaptarse a situaciones novedosas, lo cual puede ser problemático si no cuenta con el apoyo familiar. Tiende a estresarse y se descuida a sí misma. Es insegura.
Rogamos que le puedan acompañar durante el internado rotatorio para facilitar su integración social y monitorear su estado de ánimo. 
Recomendamos que pueda acudir al gabinete psicológico a recibir asesoramiento.</t>
  </si>
  <si>
    <t>20/10/2021 10:23:11</t>
  </si>
  <si>
    <t>cbbe.jorgenestor.limachi.ll@unifranz.edu.bo</t>
  </si>
  <si>
    <t>Jorge Nestor Limachi Llanos</t>
  </si>
  <si>
    <t>Hombre</t>
  </si>
  <si>
    <t>Boliviana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</si>
</sst>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name val="Cambria"/>
      <family val="2"/>
      <scheme val="major"/>
    </font>
    <font>
      <sz val="11"/>
      <color theme="1"/>
      <name val="Arial"/>
      <family val="2"/>
    </font>
    <font>
      <sz val="11"/>
      <color theme="9" tint="0.39997558519241921"/>
      <name val="Arial Black"/>
      <family val="2"/>
    </font>
    <font>
      <sz val="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sz val="9"/>
      <color theme="9" tint="0.39997558519241921"/>
      <name val="Arial Black"/>
      <family val="2"/>
    </font>
    <font>
      <sz val="8"/>
      <color theme="9" tint="0.39997558519241921"/>
      <name val="Arial Black"/>
      <family val="2"/>
    </font>
    <font>
      <b/>
      <u/>
      <sz val="2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CAE2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</fills>
  <borders count="5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9" tint="0.39997558519241921"/>
      </bottom>
      <diagonal/>
    </border>
    <border>
      <left style="thin">
        <color theme="0"/>
      </left>
      <right style="thin">
        <color theme="0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0"/>
      </left>
      <right style="thin">
        <color theme="0"/>
      </right>
      <top/>
      <bottom style="thin">
        <color theme="9" tint="0.3999755851924192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9" tint="0.39997558519241921"/>
      </bottom>
      <diagonal/>
    </border>
    <border>
      <left style="thin">
        <color theme="0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0"/>
      </left>
      <right/>
      <top/>
      <bottom style="thin">
        <color theme="9" tint="0.3999755851924192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/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/>
      <right/>
      <top/>
      <bottom style="mediumDashed">
        <color rgb="FF005828"/>
      </bottom>
      <diagonal/>
    </border>
    <border>
      <left style="mediumDashed">
        <color theme="0"/>
      </left>
      <right style="mediumDashed">
        <color theme="0"/>
      </right>
      <top style="mediumDashed">
        <color theme="0"/>
      </top>
      <bottom style="mediumDashed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0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0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2" fillId="4" borderId="0" applyAlignment="0"/>
    <xf numFmtId="0" fontId="1" fillId="0" borderId="0" applyFont="0" applyFill="0" applyBorder="0" applyAlignment="0"/>
    <xf numFmtId="0" fontId="1" fillId="0" borderId="0" applyFont="0" applyFill="0" applyBorder="0" applyAlignment="0"/>
    <xf numFmtId="0" fontId="1" fillId="0" borderId="0" applyFont="0" applyFill="0" applyAlignment="0"/>
  </cellStyleXfs>
  <cellXfs count="188">
    <xf numFmtId="0" fontId="0" fillId="0" borderId="0" xfId="0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right" wrapText="1"/>
    </xf>
    <xf numFmtId="0" fontId="0" fillId="3" borderId="0" xfId="0" applyFill="1"/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6" xfId="0" applyBorder="1"/>
    <xf numFmtId="0" fontId="0" fillId="0" borderId="0" xfId="0" applyNumberFormat="1"/>
    <xf numFmtId="0" fontId="6" fillId="0" borderId="13" xfId="0" applyFont="1" applyBorder="1" applyAlignment="1">
      <alignment horizontal="justify" vertical="center" wrapText="1"/>
    </xf>
    <xf numFmtId="0" fontId="6" fillId="0" borderId="14" xfId="0" applyFont="1" applyBorder="1" applyAlignment="1">
      <alignment horizontal="justify" vertical="center" wrapText="1"/>
    </xf>
    <xf numFmtId="0" fontId="0" fillId="0" borderId="0" xfId="0" applyFill="1" applyBorder="1"/>
    <xf numFmtId="0" fontId="6" fillId="0" borderId="13" xfId="0" applyFont="1" applyBorder="1" applyAlignment="1">
      <alignment horizontal="justify" vertical="top" wrapText="1"/>
    </xf>
    <xf numFmtId="0" fontId="6" fillId="0" borderId="14" xfId="0" applyFont="1" applyBorder="1" applyAlignment="1">
      <alignment horizontal="justify" vertical="top" wrapText="1"/>
    </xf>
    <xf numFmtId="0" fontId="6" fillId="0" borderId="14" xfId="0" applyNumberFormat="1" applyFont="1" applyBorder="1" applyAlignment="1">
      <alignment horizontal="justify" vertical="top" wrapText="1"/>
    </xf>
    <xf numFmtId="0" fontId="6" fillId="0" borderId="15" xfId="0" applyFont="1" applyBorder="1" applyAlignment="1">
      <alignment horizontal="justify" vertical="top" wrapText="1"/>
    </xf>
    <xf numFmtId="0" fontId="6" fillId="0" borderId="16" xfId="0" applyFont="1" applyBorder="1" applyAlignment="1">
      <alignment horizontal="justify" vertical="top" wrapText="1"/>
    </xf>
    <xf numFmtId="0" fontId="6" fillId="0" borderId="16" xfId="0" applyNumberFormat="1" applyFont="1" applyBorder="1" applyAlignment="1">
      <alignment horizontal="justify" vertical="top" wrapText="1"/>
    </xf>
    <xf numFmtId="0" fontId="0" fillId="4" borderId="0" xfId="0" applyFill="1"/>
    <xf numFmtId="0" fontId="0" fillId="5" borderId="0" xfId="0" applyFill="1"/>
    <xf numFmtId="2" fontId="6" fillId="0" borderId="15" xfId="0" applyNumberFormat="1" applyFont="1" applyBorder="1" applyAlignment="1">
      <alignment horizontal="justify" vertical="top" wrapText="1"/>
    </xf>
    <xf numFmtId="2" fontId="6" fillId="0" borderId="16" xfId="0" applyNumberFormat="1" applyFont="1" applyBorder="1" applyAlignment="1">
      <alignment horizontal="justify" vertical="top" wrapText="1"/>
    </xf>
    <xf numFmtId="0" fontId="6" fillId="7" borderId="13" xfId="0" applyFont="1" applyFill="1" applyBorder="1" applyAlignment="1">
      <alignment horizontal="justify" vertical="top" wrapText="1"/>
    </xf>
    <xf numFmtId="0" fontId="6" fillId="7" borderId="14" xfId="0" applyFont="1" applyFill="1" applyBorder="1" applyAlignment="1">
      <alignment horizontal="justify" vertical="top" wrapText="1"/>
    </xf>
    <xf numFmtId="0" fontId="0" fillId="7" borderId="0" xfId="0" applyFill="1"/>
    <xf numFmtId="0" fontId="6" fillId="7" borderId="14" xfId="0" applyNumberFormat="1" applyFont="1" applyFill="1" applyBorder="1" applyAlignment="1">
      <alignment horizontal="justify" vertical="top" wrapText="1"/>
    </xf>
    <xf numFmtId="0" fontId="6" fillId="7" borderId="17" xfId="0" applyFont="1" applyFill="1" applyBorder="1" applyAlignment="1">
      <alignment horizontal="justify" vertical="top" wrapText="1"/>
    </xf>
    <xf numFmtId="0" fontId="0" fillId="7" borderId="0" xfId="0" applyFill="1" applyBorder="1"/>
    <xf numFmtId="0" fontId="6" fillId="0" borderId="17" xfId="0" applyFont="1" applyFill="1" applyBorder="1" applyAlignment="1">
      <alignment horizontal="justify" vertical="top" wrapText="1"/>
    </xf>
    <xf numFmtId="0" fontId="0" fillId="0" borderId="4" xfId="0" applyBorder="1"/>
    <xf numFmtId="0" fontId="0" fillId="0" borderId="19" xfId="0" applyBorder="1"/>
    <xf numFmtId="0" fontId="0" fillId="0" borderId="3" xfId="0" applyBorder="1"/>
    <xf numFmtId="0" fontId="7" fillId="8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2" borderId="2" xfId="0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 applyAlignment="1">
      <alignment horizontal="right"/>
    </xf>
    <xf numFmtId="0" fontId="0" fillId="0" borderId="29" xfId="0" applyBorder="1"/>
    <xf numFmtId="0" fontId="7" fillId="8" borderId="19" xfId="0" applyFont="1" applyFill="1" applyBorder="1" applyAlignment="1">
      <alignment horizontal="center"/>
    </xf>
    <xf numFmtId="0" fontId="7" fillId="8" borderId="29" xfId="0" applyFont="1" applyFill="1" applyBorder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0" xfId="0" applyBorder="1"/>
    <xf numFmtId="0" fontId="9" fillId="6" borderId="0" xfId="0" applyFont="1" applyFill="1"/>
    <xf numFmtId="0" fontId="0" fillId="9" borderId="0" xfId="0" applyFill="1"/>
    <xf numFmtId="0" fontId="0" fillId="10" borderId="0" xfId="0" applyFill="1"/>
    <xf numFmtId="0" fontId="0" fillId="9" borderId="34" xfId="0" applyFill="1" applyBorder="1"/>
    <xf numFmtId="0" fontId="9" fillId="4" borderId="0" xfId="0" applyFont="1" applyFill="1"/>
    <xf numFmtId="0" fontId="0" fillId="4" borderId="35" xfId="0" applyFill="1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6" xfId="0" applyBorder="1"/>
    <xf numFmtId="0" fontId="0" fillId="0" borderId="37" xfId="0" applyBorder="1"/>
    <xf numFmtId="0" fontId="0" fillId="0" borderId="18" xfId="0" applyBorder="1"/>
    <xf numFmtId="0" fontId="0" fillId="0" borderId="38" xfId="0" applyBorder="1"/>
    <xf numFmtId="0" fontId="0" fillId="0" borderId="3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" xfId="0" applyBorder="1" applyProtection="1">
      <protection locked="0"/>
    </xf>
    <xf numFmtId="0" fontId="0" fillId="4" borderId="0" xfId="0" applyFill="1" applyProtection="1">
      <protection locked="0"/>
    </xf>
    <xf numFmtId="0" fontId="0" fillId="0" borderId="19" xfId="0" applyBorder="1" applyProtection="1">
      <protection locked="0"/>
    </xf>
    <xf numFmtId="0" fontId="10" fillId="0" borderId="0" xfId="0" applyFont="1"/>
    <xf numFmtId="0" fontId="11" fillId="0" borderId="0" xfId="0" applyFont="1"/>
    <xf numFmtId="0" fontId="11" fillId="0" borderId="9" xfId="0" applyFont="1" applyBorder="1"/>
    <xf numFmtId="0" fontId="12" fillId="0" borderId="13" xfId="0" applyFont="1" applyBorder="1" applyAlignment="1">
      <alignment horizontal="center" vertical="top" wrapText="1"/>
    </xf>
    <xf numFmtId="0" fontId="6" fillId="0" borderId="14" xfId="0" applyNumberFormat="1" applyFont="1" applyBorder="1" applyAlignment="1">
      <alignment horizontal="justify" vertical="top"/>
    </xf>
    <xf numFmtId="0" fontId="12" fillId="7" borderId="13" xfId="0" applyFont="1" applyFill="1" applyBorder="1" applyAlignment="1">
      <alignment horizontal="center" vertical="top" wrapText="1"/>
    </xf>
    <xf numFmtId="0" fontId="13" fillId="7" borderId="14" xfId="0" applyFont="1" applyFill="1" applyBorder="1" applyAlignment="1">
      <alignment horizontal="justify" vertical="top" wrapText="1"/>
    </xf>
    <xf numFmtId="0" fontId="6" fillId="0" borderId="17" xfId="0" applyFont="1" applyFill="1" applyBorder="1" applyAlignment="1">
      <alignment horizontal="justify" vertical="center" wrapText="1"/>
    </xf>
    <xf numFmtId="0" fontId="12" fillId="7" borderId="13" xfId="0" applyFont="1" applyFill="1" applyBorder="1" applyAlignment="1">
      <alignment vertical="top" wrapText="1"/>
    </xf>
    <xf numFmtId="0" fontId="14" fillId="7" borderId="13" xfId="0" applyFont="1" applyFill="1" applyBorder="1" applyAlignment="1">
      <alignment horizontal="center" vertical="top" wrapText="1"/>
    </xf>
    <xf numFmtId="0" fontId="15" fillId="3" borderId="0" xfId="0" applyFont="1" applyFill="1" applyAlignment="1">
      <alignment wrapText="1"/>
    </xf>
    <xf numFmtId="0" fontId="16" fillId="3" borderId="0" xfId="0" applyFont="1" applyFill="1" applyAlignment="1">
      <alignment wrapText="1"/>
    </xf>
    <xf numFmtId="0" fontId="3" fillId="0" borderId="2" xfId="0" applyFont="1" applyBorder="1" applyAlignment="1">
      <alignment horizontal="right"/>
    </xf>
    <xf numFmtId="0" fontId="0" fillId="0" borderId="2" xfId="0" applyBorder="1" applyAlignment="1">
      <alignment horizontal="left"/>
    </xf>
    <xf numFmtId="0" fontId="0" fillId="0" borderId="43" xfId="0" applyBorder="1"/>
    <xf numFmtId="0" fontId="0" fillId="6" borderId="0" xfId="0" applyFill="1"/>
    <xf numFmtId="0" fontId="0" fillId="2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6" borderId="48" xfId="0" applyFill="1" applyBorder="1"/>
    <xf numFmtId="0" fontId="0" fillId="0" borderId="48" xfId="0" applyBorder="1"/>
    <xf numFmtId="0" fontId="0" fillId="0" borderId="49" xfId="0" applyBorder="1"/>
    <xf numFmtId="0" fontId="0" fillId="2" borderId="48" xfId="0" applyFill="1" applyBorder="1"/>
    <xf numFmtId="0" fontId="0" fillId="12" borderId="48" xfId="0" applyFill="1" applyBorder="1"/>
    <xf numFmtId="0" fontId="0" fillId="11" borderId="48" xfId="0" applyFill="1" applyBorder="1"/>
    <xf numFmtId="0" fontId="0" fillId="4" borderId="49" xfId="0" applyFill="1" applyBorder="1"/>
    <xf numFmtId="0" fontId="0" fillId="13" borderId="48" xfId="0" applyFill="1" applyBorder="1"/>
    <xf numFmtId="0" fontId="0" fillId="0" borderId="0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13" borderId="0" xfId="0" applyFill="1" applyBorder="1"/>
    <xf numFmtId="0" fontId="0" fillId="4" borderId="48" xfId="0" applyFill="1" applyBorder="1"/>
    <xf numFmtId="0" fontId="0" fillId="4" borderId="51" xfId="0" applyFill="1" applyBorder="1"/>
    <xf numFmtId="0" fontId="0" fillId="0" borderId="20" xfId="0" applyBorder="1"/>
    <xf numFmtId="0" fontId="17" fillId="0" borderId="2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4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29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47" xfId="0" applyBorder="1" applyAlignment="1">
      <alignment horizontal="left" vertical="top" wrapText="1"/>
    </xf>
    <xf numFmtId="0" fontId="0" fillId="0" borderId="45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46" xfId="0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0" fillId="0" borderId="47" xfId="0" applyBorder="1" applyAlignment="1">
      <alignment horizontal="left" vertical="top"/>
    </xf>
    <xf numFmtId="0" fontId="17" fillId="0" borderId="2" xfId="0" applyFont="1" applyBorder="1" applyAlignment="1">
      <alignment horizontal="left"/>
    </xf>
    <xf numFmtId="0" fontId="7" fillId="8" borderId="0" xfId="0" applyFont="1" applyFill="1" applyBorder="1" applyAlignment="1">
      <alignment horizontal="center"/>
    </xf>
    <xf numFmtId="0" fontId="7" fillId="8" borderId="24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5" fillId="3" borderId="20" xfId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4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18" xfId="0" applyBorder="1" applyAlignment="1">
      <alignment horizontal="left"/>
    </xf>
    <xf numFmtId="0" fontId="3" fillId="0" borderId="44" xfId="0" applyFont="1" applyBorder="1" applyAlignment="1">
      <alignment horizontal="left" vertical="top" wrapText="1"/>
    </xf>
    <xf numFmtId="0" fontId="3" fillId="0" borderId="45" xfId="0" applyFont="1" applyBorder="1" applyAlignment="1">
      <alignment horizontal="left" vertical="top" wrapText="1"/>
    </xf>
    <xf numFmtId="0" fontId="3" fillId="0" borderId="28" xfId="0" applyFont="1" applyBorder="1" applyAlignment="1">
      <alignment horizontal="left" vertical="top" wrapText="1"/>
    </xf>
    <xf numFmtId="0" fontId="3" fillId="0" borderId="29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24" xfId="0" applyFont="1" applyBorder="1" applyAlignment="1">
      <alignment horizontal="left" vertical="top" wrapText="1"/>
    </xf>
    <xf numFmtId="0" fontId="0" fillId="0" borderId="39" xfId="0" applyBorder="1" applyAlignment="1">
      <alignment horizontal="center" vertical="center" textRotation="90" shrinkToFit="1"/>
    </xf>
    <xf numFmtId="0" fontId="0" fillId="0" borderId="40" xfId="0" applyBorder="1" applyAlignment="1">
      <alignment horizontal="center" vertical="center" textRotation="90" shrinkToFit="1"/>
    </xf>
    <xf numFmtId="0" fontId="0" fillId="0" borderId="41" xfId="0" applyBorder="1" applyAlignment="1">
      <alignment horizontal="center" vertical="center" textRotation="90" shrinkToFit="1"/>
    </xf>
    <xf numFmtId="0" fontId="8" fillId="0" borderId="39" xfId="0" applyFont="1" applyBorder="1" applyAlignment="1">
      <alignment horizontal="center" vertical="center" textRotation="90" wrapText="1" shrinkToFit="1"/>
    </xf>
    <xf numFmtId="0" fontId="8" fillId="0" borderId="40" xfId="0" applyFont="1" applyBorder="1" applyAlignment="1">
      <alignment horizontal="center" vertical="center" textRotation="90" wrapText="1" shrinkToFit="1"/>
    </xf>
    <xf numFmtId="0" fontId="8" fillId="0" borderId="41" xfId="0" applyFont="1" applyBorder="1" applyAlignment="1">
      <alignment horizontal="center" vertical="center" textRotation="90" wrapText="1" shrinkToFit="1"/>
    </xf>
    <xf numFmtId="0" fontId="0" fillId="0" borderId="42" xfId="0" applyBorder="1" applyAlignment="1">
      <alignment horizontal="center" vertical="center" textRotation="90" shrinkToFit="1"/>
    </xf>
    <xf numFmtId="0" fontId="0" fillId="0" borderId="39" xfId="0" applyBorder="1" applyAlignment="1">
      <alignment horizontal="center" textRotation="90" shrinkToFit="1"/>
    </xf>
    <xf numFmtId="0" fontId="0" fillId="0" borderId="40" xfId="0" applyBorder="1" applyAlignment="1">
      <alignment horizontal="center" textRotation="90" shrinkToFit="1"/>
    </xf>
    <xf numFmtId="0" fontId="0" fillId="0" borderId="41" xfId="0" applyBorder="1" applyAlignment="1">
      <alignment horizontal="center" textRotation="90" shrinkToFit="1"/>
    </xf>
    <xf numFmtId="0" fontId="3" fillId="0" borderId="45" xfId="0" applyFont="1" applyBorder="1" applyAlignment="1">
      <alignment horizontal="left" vertical="top"/>
    </xf>
    <xf numFmtId="0" fontId="3" fillId="0" borderId="28" xfId="0" applyFont="1" applyBorder="1" applyAlignment="1">
      <alignment horizontal="left" vertical="top"/>
    </xf>
    <xf numFmtId="0" fontId="3" fillId="0" borderId="46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47" xfId="0" applyFont="1" applyBorder="1" applyAlignment="1">
      <alignment horizontal="left" vertical="top"/>
    </xf>
    <xf numFmtId="0" fontId="0" fillId="0" borderId="3" xfId="0" applyBorder="1" applyAlignment="1">
      <alignment horizontal="left"/>
    </xf>
    <xf numFmtId="0" fontId="17" fillId="0" borderId="4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0" fillId="0" borderId="44" xfId="0" applyBorder="1" applyAlignment="1">
      <alignment horizontal="left"/>
    </xf>
    <xf numFmtId="0" fontId="0" fillId="0" borderId="45" xfId="0" applyBorder="1" applyAlignment="1">
      <alignment horizontal="left"/>
    </xf>
    <xf numFmtId="0" fontId="3" fillId="0" borderId="44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28" xfId="0" applyFont="1" applyBorder="1" applyAlignment="1">
      <alignment horizontal="left"/>
    </xf>
    <xf numFmtId="0" fontId="0" fillId="0" borderId="44" xfId="0" applyBorder="1" applyAlignment="1">
      <alignment horizontal="left" wrapText="1"/>
    </xf>
    <xf numFmtId="0" fontId="0" fillId="0" borderId="45" xfId="0" applyBorder="1" applyAlignment="1">
      <alignment horizontal="left" wrapText="1"/>
    </xf>
    <xf numFmtId="0" fontId="0" fillId="0" borderId="28" xfId="0" applyBorder="1" applyAlignment="1">
      <alignment horizontal="left" wrapText="1"/>
    </xf>
    <xf numFmtId="0" fontId="0" fillId="0" borderId="46" xfId="0" applyBorder="1" applyAlignment="1">
      <alignment horizontal="left" wrapText="1"/>
    </xf>
    <xf numFmtId="0" fontId="0" fillId="0" borderId="20" xfId="0" applyBorder="1" applyAlignment="1">
      <alignment horizontal="left" wrapText="1"/>
    </xf>
    <xf numFmtId="0" fontId="0" fillId="0" borderId="47" xfId="0" applyBorder="1" applyAlignment="1">
      <alignment horizontal="left" wrapText="1"/>
    </xf>
    <xf numFmtId="0" fontId="17" fillId="0" borderId="4" xfId="0" applyFont="1" applyBorder="1" applyAlignment="1">
      <alignment horizontal="left"/>
    </xf>
    <xf numFmtId="0" fontId="17" fillId="0" borderId="5" xfId="0" applyFont="1" applyBorder="1" applyAlignment="1">
      <alignment horizontal="left"/>
    </xf>
    <xf numFmtId="0" fontId="17" fillId="0" borderId="3" xfId="0" applyFont="1" applyBorder="1" applyAlignment="1">
      <alignment horizontal="left"/>
    </xf>
  </cellXfs>
  <cellStyles count="7">
    <cellStyle name="Estilo 1" xfId="2"/>
    <cellStyle name="Estilo 2" xfId="3"/>
    <cellStyle name="Estilo 3" xfId="4"/>
    <cellStyle name="Estilo 4" xfId="5"/>
    <cellStyle name="Estilo 5" xfId="6"/>
    <cellStyle name="Normal" xfId="0" builtinId="0"/>
    <cellStyle name="Título" xfId="1" builtinId="15"/>
  </cellStyles>
  <dxfs count="3">
    <dxf>
      <font>
        <strike/>
      </font>
      <fill>
        <patternFill patternType="solid">
          <fgColor auto="1"/>
          <bgColor rgb="FFFF0000"/>
        </patternFill>
      </fill>
    </dxf>
    <dxf>
      <fill>
        <patternFill>
          <bgColor rgb="FFFF0000"/>
        </patternFill>
      </fill>
    </dxf>
    <dxf>
      <font>
        <strike/>
      </font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005828"/>
      <color rgb="FF2CAE2C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208847567272687E-2"/>
          <c:y val="0"/>
          <c:w val="0.96944444444444511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cal_mas!$W$16</c:f>
              <c:strCache>
                <c:ptCount val="1"/>
                <c:pt idx="0">
                  <c:v>sujeto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cal_mas!$X$15:$AB$15</c:f>
              <c:strCache>
                <c:ptCount val="5"/>
                <c:pt idx="0">
                  <c:v>E</c:v>
                </c:pt>
                <c:pt idx="1">
                  <c:v>A</c:v>
                </c:pt>
                <c:pt idx="2">
                  <c:v>T</c:v>
                </c:pt>
                <c:pt idx="3">
                  <c:v>EE</c:v>
                </c:pt>
                <c:pt idx="4">
                  <c:v>AM</c:v>
                </c:pt>
              </c:strCache>
            </c:strRef>
          </c:cat>
          <c:val>
            <c:numRef>
              <c:f>cal_mas!$X$16:$AB$16</c:f>
              <c:numCache>
                <c:formatCode>General</c:formatCode>
                <c:ptCount val="5"/>
                <c:pt idx="0">
                  <c:v>70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A-4DFD-8F5B-5977E30C9C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426304"/>
        <c:axId val="105469440"/>
      </c:lineChart>
      <c:catAx>
        <c:axId val="10542630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05469440"/>
        <c:crosses val="autoZero"/>
        <c:auto val="1"/>
        <c:lblAlgn val="ctr"/>
        <c:lblOffset val="100"/>
        <c:noMultiLvlLbl val="0"/>
      </c:catAx>
      <c:valAx>
        <c:axId val="10546944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/>
            </a:pPr>
            <a:endParaRPr lang="es-BO"/>
          </a:p>
        </c:txPr>
        <c:crossAx val="105426304"/>
        <c:crosses val="autoZero"/>
        <c:crossBetween val="between"/>
        <c:majorUnit val="10"/>
        <c:minorUnit val="7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5208303507516162E-2"/>
          <c:y val="0"/>
          <c:w val="0.96944444444444522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cal_mas!$AD$16</c:f>
              <c:strCache>
                <c:ptCount val="1"/>
                <c:pt idx="0">
                  <c:v>s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cal_mas!$AE$15</c:f>
              <c:strCache>
                <c:ptCount val="1"/>
                <c:pt idx="0">
                  <c:v>D</c:v>
                </c:pt>
              </c:strCache>
            </c:strRef>
          </c:cat>
          <c:val>
            <c:numRef>
              <c:f>cal_mas!$AE$16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E2-4053-BC89-33CBEEC9F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474688"/>
        <c:axId val="105493248"/>
      </c:lineChart>
      <c:catAx>
        <c:axId val="10547468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05493248"/>
        <c:crosses val="autoZero"/>
        <c:auto val="1"/>
        <c:lblAlgn val="ctr"/>
        <c:lblOffset val="100"/>
        <c:noMultiLvlLbl val="0"/>
      </c:catAx>
      <c:valAx>
        <c:axId val="10549324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05474688"/>
        <c:crosses val="autoZero"/>
        <c:crossBetween val="between"/>
        <c:majorUnit val="10"/>
        <c:minorUnit val="7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0529552402831712E-2"/>
          <c:y val="3.4026657497346263E-2"/>
          <c:w val="0.96944444444444522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cal_mas!$AH$16</c:f>
              <c:strCache>
                <c:ptCount val="1"/>
                <c:pt idx="0">
                  <c:v>suj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cal_mas!$AI$15:$AR$15</c:f>
              <c:strCache>
                <c:ptCount val="10"/>
                <c:pt idx="0">
                  <c:v>Di</c:v>
                </c:pt>
                <c:pt idx="1">
                  <c:v>Do</c:v>
                </c:pt>
                <c:pt idx="2">
                  <c:v>Cp</c:v>
                </c:pt>
                <c:pt idx="3">
                  <c:v>Co</c:v>
                </c:pt>
                <c:pt idx="4">
                  <c:v>Es</c:v>
                </c:pt>
                <c:pt idx="5">
                  <c:v>Pe</c:v>
                </c:pt>
                <c:pt idx="6">
                  <c:v>Ce</c:v>
                </c:pt>
                <c:pt idx="7">
                  <c:v>Ci</c:v>
                </c:pt>
                <c:pt idx="8">
                  <c:v>Ac</c:v>
                </c:pt>
                <c:pt idx="9">
                  <c:v>Ae</c:v>
                </c:pt>
              </c:strCache>
            </c:strRef>
          </c:cat>
          <c:val>
            <c:numRef>
              <c:f>cal_mas!$AI$16:$AR$16</c:f>
              <c:numCache>
                <c:formatCode>General</c:formatCode>
                <c:ptCount val="10"/>
                <c:pt idx="0">
                  <c:v>85</c:v>
                </c:pt>
                <c:pt idx="1">
                  <c:v>45</c:v>
                </c:pt>
                <c:pt idx="2">
                  <c:v>4</c:v>
                </c:pt>
                <c:pt idx="3">
                  <c:v>35</c:v>
                </c:pt>
                <c:pt idx="4">
                  <c:v>15</c:v>
                </c:pt>
                <c:pt idx="5">
                  <c:v>10</c:v>
                </c:pt>
                <c:pt idx="6">
                  <c:v>5</c:v>
                </c:pt>
                <c:pt idx="7">
                  <c:v>3</c:v>
                </c:pt>
                <c:pt idx="8">
                  <c:v>20</c:v>
                </c:pt>
                <c:pt idx="9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A1-4023-A3EE-4CB8A1B73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509248"/>
        <c:axId val="105511168"/>
      </c:lineChart>
      <c:catAx>
        <c:axId val="10550924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05511168"/>
        <c:crosses val="autoZero"/>
        <c:auto val="1"/>
        <c:lblAlgn val="ctr"/>
        <c:lblOffset val="100"/>
        <c:noMultiLvlLbl val="0"/>
      </c:catAx>
      <c:valAx>
        <c:axId val="10551116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out"/>
        <c:minorTickMark val="none"/>
        <c:tickLblPos val="high"/>
        <c:spPr>
          <a:ln>
            <a:noFill/>
          </a:ln>
        </c:spPr>
        <c:txPr>
          <a:bodyPr rot="-5400000" vert="horz" anchor="t" anchorCtr="0"/>
          <a:lstStyle/>
          <a:p>
            <a:pPr>
              <a:defRPr/>
            </a:pPr>
            <a:endParaRPr lang="es-BO"/>
          </a:p>
        </c:txPr>
        <c:crossAx val="105509248"/>
        <c:crosses val="autoZero"/>
        <c:crossBetween val="between"/>
        <c:majorUnit val="10"/>
        <c:minorUnit val="7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208847567272707E-2"/>
          <c:y val="0"/>
          <c:w val="0.96944444444444533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cal_fem!$W$16</c:f>
              <c:strCache>
                <c:ptCount val="1"/>
                <c:pt idx="0">
                  <c:v>sujeto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cal_fem!$X$15:$AB$15</c:f>
              <c:strCache>
                <c:ptCount val="5"/>
                <c:pt idx="0">
                  <c:v>E</c:v>
                </c:pt>
                <c:pt idx="1">
                  <c:v>A</c:v>
                </c:pt>
                <c:pt idx="2">
                  <c:v>T</c:v>
                </c:pt>
                <c:pt idx="3">
                  <c:v>EE</c:v>
                </c:pt>
                <c:pt idx="4">
                  <c:v>AM</c:v>
                </c:pt>
              </c:strCache>
            </c:strRef>
          </c:cat>
          <c:val>
            <c:numRef>
              <c:f>cal_fem!$X$16:$AB$16</c:f>
              <c:numCache>
                <c:formatCode>General</c:formatCode>
                <c:ptCount val="5"/>
                <c:pt idx="0">
                  <c:v>70</c:v>
                </c:pt>
                <c:pt idx="1">
                  <c:v>4</c:v>
                </c:pt>
                <c:pt idx="2">
                  <c:v>3</c:v>
                </c:pt>
                <c:pt idx="3">
                  <c:v>5</c:v>
                </c:pt>
                <c:pt idx="4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92-485F-ACDB-B5021D556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598528"/>
        <c:axId val="124600704"/>
      </c:lineChart>
      <c:catAx>
        <c:axId val="12459852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24600704"/>
        <c:crosses val="autoZero"/>
        <c:auto val="1"/>
        <c:lblAlgn val="ctr"/>
        <c:lblOffset val="100"/>
        <c:noMultiLvlLbl val="0"/>
      </c:catAx>
      <c:valAx>
        <c:axId val="12460070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/>
            </a:pPr>
            <a:endParaRPr lang="es-BO"/>
          </a:p>
        </c:txPr>
        <c:crossAx val="124598528"/>
        <c:crosses val="autoZero"/>
        <c:crossBetween val="between"/>
        <c:majorUnit val="10"/>
        <c:minorUnit val="7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520830350751618E-2"/>
          <c:y val="0"/>
          <c:w val="0.96944444444444544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cal_fem!$AD$16</c:f>
              <c:strCache>
                <c:ptCount val="1"/>
                <c:pt idx="0">
                  <c:v>s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cal_fem!$AE$15</c:f>
              <c:strCache>
                <c:ptCount val="1"/>
                <c:pt idx="0">
                  <c:v>D</c:v>
                </c:pt>
              </c:strCache>
            </c:strRef>
          </c:cat>
          <c:val>
            <c:numRef>
              <c:f>cal_fem!$AE$16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79-46D7-8D8D-3672A76A0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614144"/>
        <c:axId val="124616064"/>
      </c:lineChart>
      <c:catAx>
        <c:axId val="12461414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24616064"/>
        <c:crosses val="autoZero"/>
        <c:auto val="1"/>
        <c:lblAlgn val="ctr"/>
        <c:lblOffset val="100"/>
        <c:noMultiLvlLbl val="0"/>
      </c:catAx>
      <c:valAx>
        <c:axId val="12461606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24614144"/>
        <c:crosses val="autoZero"/>
        <c:crossBetween val="between"/>
        <c:majorUnit val="10"/>
        <c:minorUnit val="7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9.0529552402831726E-2"/>
          <c:y val="3.4026657497346263E-2"/>
          <c:w val="0.96944444444444544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cal_fem!$AH$16</c:f>
              <c:strCache>
                <c:ptCount val="1"/>
                <c:pt idx="0">
                  <c:v>suj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cal_fem!$AI$15:$AR$15</c:f>
              <c:strCache>
                <c:ptCount val="10"/>
                <c:pt idx="0">
                  <c:v>Di</c:v>
                </c:pt>
                <c:pt idx="1">
                  <c:v>Do</c:v>
                </c:pt>
                <c:pt idx="2">
                  <c:v>Cp</c:v>
                </c:pt>
                <c:pt idx="3">
                  <c:v>Co</c:v>
                </c:pt>
                <c:pt idx="4">
                  <c:v>Es</c:v>
                </c:pt>
                <c:pt idx="5">
                  <c:v>Pe</c:v>
                </c:pt>
                <c:pt idx="6">
                  <c:v>Ce</c:v>
                </c:pt>
                <c:pt idx="7">
                  <c:v>Ci</c:v>
                </c:pt>
                <c:pt idx="8">
                  <c:v>Ac</c:v>
                </c:pt>
                <c:pt idx="9">
                  <c:v>Ae</c:v>
                </c:pt>
              </c:strCache>
            </c:strRef>
          </c:cat>
          <c:val>
            <c:numRef>
              <c:f>cal_fem!$AI$16:$AR$16</c:f>
              <c:numCache>
                <c:formatCode>General</c:formatCode>
                <c:ptCount val="10"/>
                <c:pt idx="0">
                  <c:v>75</c:v>
                </c:pt>
                <c:pt idx="1">
                  <c:v>55</c:v>
                </c:pt>
                <c:pt idx="2">
                  <c:v>2</c:v>
                </c:pt>
                <c:pt idx="3">
                  <c:v>25</c:v>
                </c:pt>
                <c:pt idx="4">
                  <c:v>5</c:v>
                </c:pt>
                <c:pt idx="5">
                  <c:v>5</c:v>
                </c:pt>
                <c:pt idx="6">
                  <c:v>10</c:v>
                </c:pt>
                <c:pt idx="7">
                  <c:v>4</c:v>
                </c:pt>
                <c:pt idx="8">
                  <c:v>20</c:v>
                </c:pt>
                <c:pt idx="9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EE-41F6-A9D1-BE0D931C6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677120"/>
        <c:axId val="124691584"/>
      </c:lineChart>
      <c:catAx>
        <c:axId val="12467712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124691584"/>
        <c:crosses val="autoZero"/>
        <c:auto val="1"/>
        <c:lblAlgn val="ctr"/>
        <c:lblOffset val="100"/>
        <c:noMultiLvlLbl val="0"/>
      </c:catAx>
      <c:valAx>
        <c:axId val="12469158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out"/>
        <c:minorTickMark val="none"/>
        <c:tickLblPos val="high"/>
        <c:spPr>
          <a:ln>
            <a:noFill/>
          </a:ln>
        </c:spPr>
        <c:txPr>
          <a:bodyPr rot="-5400000" vert="horz" anchor="t" anchorCtr="0"/>
          <a:lstStyle/>
          <a:p>
            <a:pPr>
              <a:defRPr/>
            </a:pPr>
            <a:endParaRPr lang="es-BO"/>
          </a:p>
        </c:txPr>
        <c:crossAx val="124677120"/>
        <c:crosses val="autoZero"/>
        <c:crossBetween val="between"/>
        <c:majorUnit val="10"/>
        <c:minorUnit val="7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emf"/><Relationship Id="rId5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png"/><Relationship Id="rId4" Type="http://schemas.openxmlformats.org/officeDocument/2006/relationships/image" Target="../media/image1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3.png"/><Relationship Id="rId5" Type="http://schemas.openxmlformats.org/officeDocument/2006/relationships/image" Target="../media/image20.emf"/><Relationship Id="rId4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5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85725</xdr:colOff>
      <xdr:row>18</xdr:row>
      <xdr:rowOff>76200</xdr:rowOff>
    </xdr:from>
    <xdr:to>
      <xdr:col>58</xdr:col>
      <xdr:colOff>457200</xdr:colOff>
      <xdr:row>34</xdr:row>
      <xdr:rowOff>38101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61</xdr:col>
      <xdr:colOff>752476</xdr:colOff>
      <xdr:row>18</xdr:row>
      <xdr:rowOff>161925</xdr:rowOff>
    </xdr:from>
    <xdr:to>
      <xdr:col>63</xdr:col>
      <xdr:colOff>9526</xdr:colOff>
      <xdr:row>34</xdr:row>
      <xdr:rowOff>47625</xdr:rowOff>
    </xdr:to>
    <xdr:graphicFrame macro="">
      <xdr:nvGraphicFramePr>
        <xdr:cNvPr id="9" name="8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65</xdr:col>
      <xdr:colOff>0</xdr:colOff>
      <xdr:row>18</xdr:row>
      <xdr:rowOff>57149</xdr:rowOff>
    </xdr:from>
    <xdr:to>
      <xdr:col>70</xdr:col>
      <xdr:colOff>266699</xdr:colOff>
      <xdr:row>34</xdr:row>
      <xdr:rowOff>28575</xdr:rowOff>
    </xdr:to>
    <xdr:graphicFrame macro="">
      <xdr:nvGraphicFramePr>
        <xdr:cNvPr id="10" name="9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619125</xdr:colOff>
          <xdr:row>19</xdr:row>
          <xdr:rowOff>47625</xdr:rowOff>
        </xdr:from>
        <xdr:to>
          <xdr:col>75</xdr:col>
          <xdr:colOff>200025</xdr:colOff>
          <xdr:row>36</xdr:row>
          <xdr:rowOff>57150</xdr:rowOff>
        </xdr:to>
        <xdr:pic>
          <xdr:nvPicPr>
            <xdr:cNvPr id="1031" name="Picture 7"/>
            <xdr:cNvPicPr>
              <a:picLocks noChangeAspect="1" noChangeArrowheads="1"/>
              <a:extLst>
                <a:ext uri="{84589F7E-364E-4C9E-8A38-B11213B215E9}">
                  <a14:cameraTool cellRange="suj" spid="_x0000_s133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39738300" y="3752850"/>
              <a:ext cx="1866900" cy="30765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238125</xdr:colOff>
          <xdr:row>19</xdr:row>
          <xdr:rowOff>57150</xdr:rowOff>
        </xdr:from>
        <xdr:to>
          <xdr:col>75</xdr:col>
          <xdr:colOff>752475</xdr:colOff>
          <xdr:row>36</xdr:row>
          <xdr:rowOff>66675</xdr:rowOff>
        </xdr:to>
        <xdr:pic>
          <xdr:nvPicPr>
            <xdr:cNvPr id="1032" name="Picture 8"/>
            <xdr:cNvPicPr>
              <a:picLocks noChangeAspect="1" noChangeArrowheads="1"/>
              <a:extLst>
                <a:ext uri="{84589F7E-364E-4C9E-8A38-B11213B215E9}">
                  <a14:cameraTool cellRange="Distor" spid="_x0000_s133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41643300" y="3762375"/>
              <a:ext cx="514350" cy="30765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47625</xdr:colOff>
          <xdr:row>19</xdr:row>
          <xdr:rowOff>66675</xdr:rowOff>
        </xdr:from>
        <xdr:to>
          <xdr:col>81</xdr:col>
          <xdr:colOff>333375</xdr:colOff>
          <xdr:row>36</xdr:row>
          <xdr:rowOff>76200</xdr:rowOff>
        </xdr:to>
        <xdr:pic>
          <xdr:nvPicPr>
            <xdr:cNvPr id="1033" name="Picture 9"/>
            <xdr:cNvPicPr>
              <a:picLocks noChangeAspect="1" noChangeArrowheads="1"/>
              <a:extLst>
                <a:ext uri="{84589F7E-364E-4C9E-8A38-B11213B215E9}">
                  <a14:cameraTool cellRange="FACT" spid="_x0000_s133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42214800" y="3771900"/>
              <a:ext cx="4095750" cy="30765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1323974</xdr:colOff>
      <xdr:row>18</xdr:row>
      <xdr:rowOff>38100</xdr:rowOff>
    </xdr:from>
    <xdr:to>
      <xdr:col>78</xdr:col>
      <xdr:colOff>0</xdr:colOff>
      <xdr:row>34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79</xdr:col>
      <xdr:colOff>752476</xdr:colOff>
      <xdr:row>18</xdr:row>
      <xdr:rowOff>66675</xdr:rowOff>
    </xdr:from>
    <xdr:to>
      <xdr:col>81</xdr:col>
      <xdr:colOff>9526</xdr:colOff>
      <xdr:row>34</xdr:row>
      <xdr:rowOff>47625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83</xdr:col>
      <xdr:colOff>0</xdr:colOff>
      <xdr:row>18</xdr:row>
      <xdr:rowOff>57149</xdr:rowOff>
    </xdr:from>
    <xdr:to>
      <xdr:col>88</xdr:col>
      <xdr:colOff>266699</xdr:colOff>
      <xdr:row>34</xdr:row>
      <xdr:rowOff>28575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381000</xdr:colOff>
          <xdr:row>17</xdr:row>
          <xdr:rowOff>104775</xdr:rowOff>
        </xdr:from>
        <xdr:to>
          <xdr:col>92</xdr:col>
          <xdr:colOff>485775</xdr:colOff>
          <xdr:row>34</xdr:row>
          <xdr:rowOff>114300</xdr:rowOff>
        </xdr:to>
        <xdr:pic>
          <xdr:nvPicPr>
            <xdr:cNvPr id="3076" name="Picture 4"/>
            <xdr:cNvPicPr>
              <a:picLocks noChangeAspect="1" noChangeArrowheads="1"/>
              <a:extLst>
                <a:ext uri="{84589F7E-364E-4C9E-8A38-B11213B215E9}">
                  <a14:cameraTool cellRange="sujf" spid="_x0000_s338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51739800" y="3409950"/>
              <a:ext cx="1628775" cy="3028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571500</xdr:colOff>
          <xdr:row>17</xdr:row>
          <xdr:rowOff>76200</xdr:rowOff>
        </xdr:from>
        <xdr:to>
          <xdr:col>93</xdr:col>
          <xdr:colOff>371475</xdr:colOff>
          <xdr:row>34</xdr:row>
          <xdr:rowOff>85725</xdr:rowOff>
        </xdr:to>
        <xdr:pic>
          <xdr:nvPicPr>
            <xdr:cNvPr id="3077" name="Picture 5"/>
            <xdr:cNvPicPr>
              <a:picLocks noChangeAspect="1" noChangeArrowheads="1"/>
              <a:extLst>
                <a:ext uri="{84589F7E-364E-4C9E-8A38-B11213B215E9}">
                  <a14:cameraTool cellRange="Distorf2" spid="_x0000_s3384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3454300" y="3381375"/>
              <a:ext cx="561975" cy="3028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93</xdr:col>
          <xdr:colOff>609600</xdr:colOff>
          <xdr:row>17</xdr:row>
          <xdr:rowOff>161925</xdr:rowOff>
        </xdr:from>
        <xdr:to>
          <xdr:col>99</xdr:col>
          <xdr:colOff>142875</xdr:colOff>
          <xdr:row>34</xdr:row>
          <xdr:rowOff>171450</xdr:rowOff>
        </xdr:to>
        <xdr:pic>
          <xdr:nvPicPr>
            <xdr:cNvPr id="3079" name="Picture 7"/>
            <xdr:cNvPicPr>
              <a:picLocks noChangeAspect="1" noChangeArrowheads="1"/>
              <a:extLst>
                <a:ext uri="{84589F7E-364E-4C9E-8A38-B11213B215E9}">
                  <a14:cameraTool cellRange="FactF" spid="_x0000_s3385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54254400" y="3467100"/>
              <a:ext cx="4105275" cy="3028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1</xdr:row>
      <xdr:rowOff>182277</xdr:rowOff>
    </xdr:from>
    <xdr:to>
      <xdr:col>8</xdr:col>
      <xdr:colOff>733425</xdr:colOff>
      <xdr:row>5</xdr:row>
      <xdr:rowOff>28328</xdr:rowOff>
    </xdr:to>
    <xdr:pic>
      <xdr:nvPicPr>
        <xdr:cNvPr id="2" name="1 Imagen" descr="logo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48175" y="468027"/>
          <a:ext cx="1438275" cy="6080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7</xdr:row>
          <xdr:rowOff>34926</xdr:rowOff>
        </xdr:from>
        <xdr:to>
          <xdr:col>8</xdr:col>
          <xdr:colOff>695325</xdr:colOff>
          <xdr:row>16</xdr:row>
          <xdr:rowOff>53976</xdr:rowOff>
        </xdr:to>
        <xdr:pic>
          <xdr:nvPicPr>
            <xdr:cNvPr id="2051" name="Picture 3"/>
            <xdr:cNvPicPr>
              <a:picLocks noChangeAspect="1" noChangeArrowheads="1"/>
              <a:extLst>
                <a:ext uri="{84589F7E-364E-4C9E-8A38-B11213B215E9}">
                  <a14:cameraTool cellRange="suj" spid="_x0000_s237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 rot="5400000">
              <a:off x="3074988" y="1227138"/>
              <a:ext cx="2368550" cy="30321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16</xdr:row>
          <xdr:rowOff>19050</xdr:rowOff>
        </xdr:from>
        <xdr:to>
          <xdr:col>8</xdr:col>
          <xdr:colOff>695325</xdr:colOff>
          <xdr:row>19</xdr:row>
          <xdr:rowOff>19051</xdr:rowOff>
        </xdr:to>
        <xdr:pic>
          <xdr:nvPicPr>
            <xdr:cNvPr id="2053" name="Picture 5"/>
            <xdr:cNvPicPr>
              <a:picLocks noChangeAspect="1" noChangeArrowheads="1"/>
              <a:extLst>
                <a:ext uri="{84589F7E-364E-4C9E-8A38-B11213B215E9}">
                  <a14:cameraTool cellRange="Distor" spid="_x0000_s237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 rot="5400000">
              <a:off x="3786188" y="2671762"/>
              <a:ext cx="514350" cy="29051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19</xdr:row>
          <xdr:rowOff>19050</xdr:rowOff>
        </xdr:from>
        <xdr:to>
          <xdr:col>8</xdr:col>
          <xdr:colOff>695325</xdr:colOff>
          <xdr:row>41</xdr:row>
          <xdr:rowOff>38099</xdr:rowOff>
        </xdr:to>
        <xdr:pic>
          <xdr:nvPicPr>
            <xdr:cNvPr id="2054" name="Picture 6"/>
            <xdr:cNvPicPr>
              <a:picLocks noChangeAspect="1" noChangeArrowheads="1"/>
              <a:extLst>
                <a:ext uri="{84589F7E-364E-4C9E-8A38-B11213B215E9}">
                  <a14:cameraTool cellRange="FACT" spid="_x0000_s237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 rot="5400000">
              <a:off x="1890713" y="5081587"/>
              <a:ext cx="4305300" cy="29051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10</xdr:col>
      <xdr:colOff>211667</xdr:colOff>
      <xdr:row>1</xdr:row>
      <xdr:rowOff>0</xdr:rowOff>
    </xdr:from>
    <xdr:to>
      <xdr:col>11</xdr:col>
      <xdr:colOff>359833</xdr:colOff>
      <xdr:row>4</xdr:row>
      <xdr:rowOff>21167</xdr:rowOff>
    </xdr:to>
    <xdr:sp macro="[0]!Hoja4.guardapdf" textlink="">
      <xdr:nvSpPr>
        <xdr:cNvPr id="3" name="CuadroTexto 2"/>
        <xdr:cNvSpPr txBox="1"/>
      </xdr:nvSpPr>
      <xdr:spPr>
        <a:xfrm>
          <a:off x="6985000" y="359833"/>
          <a:ext cx="963083" cy="592667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s-BO" sz="1100"/>
            <a:t> </a:t>
          </a:r>
          <a:r>
            <a:rPr lang="es-BO" sz="2800"/>
            <a:t>PDF</a:t>
          </a:r>
          <a:endParaRPr lang="es-BO" sz="1100"/>
        </a:p>
      </xdr:txBody>
    </xdr:sp>
    <xdr:clientData/>
  </xdr:twoCellAnchor>
  <xdr:twoCellAnchor>
    <xdr:from>
      <xdr:col>10</xdr:col>
      <xdr:colOff>211667</xdr:colOff>
      <xdr:row>7</xdr:row>
      <xdr:rowOff>0</xdr:rowOff>
    </xdr:from>
    <xdr:to>
      <xdr:col>11</xdr:col>
      <xdr:colOff>359833</xdr:colOff>
      <xdr:row>10</xdr:row>
      <xdr:rowOff>21167</xdr:rowOff>
    </xdr:to>
    <xdr:sp macro="[0]!guardar_entrevista" textlink="">
      <xdr:nvSpPr>
        <xdr:cNvPr id="7" name="CuadroTexto 6"/>
        <xdr:cNvSpPr txBox="1"/>
      </xdr:nvSpPr>
      <xdr:spPr>
        <a:xfrm>
          <a:off x="7002992" y="361950"/>
          <a:ext cx="967316" cy="592667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/>
            <a:t>con entrevista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135467</xdr:colOff>
      <xdr:row>3</xdr:row>
      <xdr:rowOff>108193</xdr:rowOff>
    </xdr:from>
    <xdr:to>
      <xdr:col>8</xdr:col>
      <xdr:colOff>754592</xdr:colOff>
      <xdr:row>6</xdr:row>
      <xdr:rowOff>144744</xdr:rowOff>
    </xdr:to>
    <xdr:pic>
      <xdr:nvPicPr>
        <xdr:cNvPr id="2" name="1 Imagen" descr="logo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11134" y="827860"/>
          <a:ext cx="1423458" cy="6080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657225</xdr:colOff>
          <xdr:row>14</xdr:row>
          <xdr:rowOff>66675</xdr:rowOff>
        </xdr:from>
        <xdr:to>
          <xdr:col>68</xdr:col>
          <xdr:colOff>647700</xdr:colOff>
          <xdr:row>30</xdr:row>
          <xdr:rowOff>38100</xdr:rowOff>
        </xdr:to>
        <xdr:pic>
          <xdr:nvPicPr>
            <xdr:cNvPr id="4100" name="Picture 4"/>
            <xdr:cNvPicPr>
              <a:picLocks noChangeAspect="1" noChangeArrowheads="1"/>
              <a:extLst>
                <a:ext uri="{84589F7E-364E-4C9E-8A38-B11213B215E9}">
                  <a14:cameraTool cellRange="sujf" spid="_x0000_s45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9653825" y="3457575"/>
              <a:ext cx="1514475" cy="30289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7</xdr:row>
          <xdr:rowOff>70908</xdr:rowOff>
        </xdr:from>
        <xdr:to>
          <xdr:col>8</xdr:col>
          <xdr:colOff>714375</xdr:colOff>
          <xdr:row>15</xdr:row>
          <xdr:rowOff>19050</xdr:rowOff>
        </xdr:to>
        <xdr:pic>
          <xdr:nvPicPr>
            <xdr:cNvPr id="4103" name="Picture 7"/>
            <xdr:cNvPicPr>
              <a:picLocks noChangeAspect="1" noChangeArrowheads="1"/>
              <a:extLst>
                <a:ext uri="{84589F7E-364E-4C9E-8A38-B11213B215E9}">
                  <a14:cameraTool cellRange="sujf" spid="_x0000_s452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 rot="5400000">
              <a:off x="3241675" y="1054100"/>
              <a:ext cx="2054225" cy="30511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75142</xdr:colOff>
          <xdr:row>15</xdr:row>
          <xdr:rowOff>103717</xdr:rowOff>
        </xdr:from>
        <xdr:to>
          <xdr:col>8</xdr:col>
          <xdr:colOff>703792</xdr:colOff>
          <xdr:row>18</xdr:row>
          <xdr:rowOff>109008</xdr:rowOff>
        </xdr:to>
        <xdr:pic>
          <xdr:nvPicPr>
            <xdr:cNvPr id="4105" name="Picture 9"/>
            <xdr:cNvPicPr>
              <a:picLocks noChangeAspect="1" noChangeArrowheads="1"/>
              <a:extLst>
                <a:ext uri="{84589F7E-364E-4C9E-8A38-B11213B215E9}">
                  <a14:cameraTool cellRange="Distorf2" spid="_x0000_s452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 rot="5400000">
              <a:off x="3979863" y="2453746"/>
              <a:ext cx="566208" cy="3041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19</xdr:row>
          <xdr:rowOff>14818</xdr:rowOff>
        </xdr:from>
        <xdr:to>
          <xdr:col>8</xdr:col>
          <xdr:colOff>714375</xdr:colOff>
          <xdr:row>41</xdr:row>
          <xdr:rowOff>33868</xdr:rowOff>
        </xdr:to>
        <xdr:pic>
          <xdr:nvPicPr>
            <xdr:cNvPr id="4106" name="Picture 10"/>
            <xdr:cNvPicPr>
              <a:picLocks noChangeAspect="1" noChangeArrowheads="1"/>
              <a:extLst>
                <a:ext uri="{84589F7E-364E-4C9E-8A38-B11213B215E9}">
                  <a14:cameraTool cellRange="FactF" spid="_x0000_s452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 rot="5400000">
              <a:off x="2115608" y="5001685"/>
              <a:ext cx="4315883" cy="3041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>
    <xdr:from>
      <xdr:col>9</xdr:col>
      <xdr:colOff>444499</xdr:colOff>
      <xdr:row>1</xdr:row>
      <xdr:rowOff>63500</xdr:rowOff>
    </xdr:from>
    <xdr:to>
      <xdr:col>10</xdr:col>
      <xdr:colOff>592666</xdr:colOff>
      <xdr:row>5</xdr:row>
      <xdr:rowOff>21166</xdr:rowOff>
    </xdr:to>
    <xdr:sp macro="[0]!Hoja5.guardapdf" textlink="">
      <xdr:nvSpPr>
        <xdr:cNvPr id="3" name="CuadroTexto 2"/>
        <xdr:cNvSpPr txBox="1"/>
      </xdr:nvSpPr>
      <xdr:spPr>
        <a:xfrm>
          <a:off x="6402916" y="402167"/>
          <a:ext cx="963083" cy="719666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s-BO" sz="3600"/>
            <a:t>PDF</a:t>
          </a:r>
        </a:p>
      </xdr:txBody>
    </xdr:sp>
    <xdr:clientData/>
  </xdr:twoCellAnchor>
  <xdr:twoCellAnchor>
    <xdr:from>
      <xdr:col>9</xdr:col>
      <xdr:colOff>455083</xdr:colOff>
      <xdr:row>7</xdr:row>
      <xdr:rowOff>0</xdr:rowOff>
    </xdr:from>
    <xdr:to>
      <xdr:col>10</xdr:col>
      <xdr:colOff>603249</xdr:colOff>
      <xdr:row>10</xdr:row>
      <xdr:rowOff>21167</xdr:rowOff>
    </xdr:to>
    <xdr:sp macro="[0]!guardar_entrevista" textlink="">
      <xdr:nvSpPr>
        <xdr:cNvPr id="9" name="CuadroTexto 8"/>
        <xdr:cNvSpPr txBox="1"/>
      </xdr:nvSpPr>
      <xdr:spPr>
        <a:xfrm>
          <a:off x="6413500" y="1481667"/>
          <a:ext cx="963082" cy="751417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400" b="1"/>
            <a:t>con entrevista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W3"/>
  <sheetViews>
    <sheetView workbookViewId="0">
      <selection activeCell="A3" sqref="A3:EP3"/>
    </sheetView>
  </sheetViews>
  <sheetFormatPr baseColWidth="10" defaultRowHeight="15" x14ac:dyDescent="0.25"/>
  <cols>
    <col min="1" max="2" width="16.5703125" customWidth="1"/>
  </cols>
  <sheetData>
    <row r="1" spans="1:153" ht="9.75" customHeight="1" thickBot="1" x14ac:dyDescent="0.3">
      <c r="A1" t="s">
        <v>1</v>
      </c>
    </row>
    <row r="2" spans="1:153" ht="84" customHeight="1" thickBot="1" x14ac:dyDescent="0.3">
      <c r="A2" s="1" t="s">
        <v>138</v>
      </c>
      <c r="B2" s="1" t="s">
        <v>303</v>
      </c>
      <c r="C2" s="1" t="s">
        <v>134</v>
      </c>
      <c r="D2" s="1" t="s">
        <v>137</v>
      </c>
      <c r="E2" s="1" t="s">
        <v>207</v>
      </c>
      <c r="F2" s="1" t="s">
        <v>208</v>
      </c>
      <c r="G2" s="1" t="s">
        <v>135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6</v>
      </c>
      <c r="M2" s="1" t="s">
        <v>7</v>
      </c>
      <c r="N2" s="1" t="s">
        <v>8</v>
      </c>
      <c r="O2" s="1" t="s">
        <v>9</v>
      </c>
      <c r="P2" s="1" t="s">
        <v>10</v>
      </c>
      <c r="Q2" s="1" t="s">
        <v>11</v>
      </c>
      <c r="R2" s="1" t="s">
        <v>12</v>
      </c>
      <c r="S2" s="1" t="s">
        <v>13</v>
      </c>
      <c r="T2" s="1" t="s">
        <v>14</v>
      </c>
      <c r="U2" s="1" t="s">
        <v>15</v>
      </c>
      <c r="V2" s="1" t="s">
        <v>16</v>
      </c>
      <c r="W2" s="1" t="s">
        <v>17</v>
      </c>
      <c r="X2" s="1" t="s">
        <v>18</v>
      </c>
      <c r="Y2" s="1" t="s">
        <v>19</v>
      </c>
      <c r="Z2" s="1" t="s">
        <v>20</v>
      </c>
      <c r="AA2" s="1" t="s">
        <v>21</v>
      </c>
      <c r="AB2" s="1" t="s">
        <v>22</v>
      </c>
      <c r="AC2" s="1" t="s">
        <v>23</v>
      </c>
      <c r="AD2" s="1" t="s">
        <v>24</v>
      </c>
      <c r="AE2" s="1" t="s">
        <v>25</v>
      </c>
      <c r="AF2" s="1" t="s">
        <v>26</v>
      </c>
      <c r="AG2" s="1" t="s">
        <v>27</v>
      </c>
      <c r="AH2" s="1" t="s">
        <v>28</v>
      </c>
      <c r="AI2" s="1" t="s">
        <v>29</v>
      </c>
      <c r="AJ2" s="1" t="s">
        <v>30</v>
      </c>
      <c r="AK2" s="1" t="s">
        <v>31</v>
      </c>
      <c r="AL2" s="1" t="s">
        <v>32</v>
      </c>
      <c r="AM2" s="1" t="s">
        <v>33</v>
      </c>
      <c r="AN2" s="1" t="s">
        <v>34</v>
      </c>
      <c r="AO2" s="1" t="s">
        <v>35</v>
      </c>
      <c r="AP2" s="1" t="s">
        <v>36</v>
      </c>
      <c r="AQ2" s="1" t="s">
        <v>37</v>
      </c>
      <c r="AR2" s="1" t="s">
        <v>38</v>
      </c>
      <c r="AS2" s="1" t="s">
        <v>39</v>
      </c>
      <c r="AT2" s="1" t="s">
        <v>40</v>
      </c>
      <c r="AU2" s="1" t="s">
        <v>41</v>
      </c>
      <c r="AV2" s="1" t="s">
        <v>42</v>
      </c>
      <c r="AW2" s="1" t="s">
        <v>43</v>
      </c>
      <c r="AX2" s="1" t="s">
        <v>44</v>
      </c>
      <c r="AY2" s="1" t="s">
        <v>45</v>
      </c>
      <c r="AZ2" s="1" t="s">
        <v>46</v>
      </c>
      <c r="BA2" s="1" t="s">
        <v>47</v>
      </c>
      <c r="BB2" s="1" t="s">
        <v>48</v>
      </c>
      <c r="BC2" s="1" t="s">
        <v>49</v>
      </c>
      <c r="BD2" s="1" t="s">
        <v>50</v>
      </c>
      <c r="BE2" s="1" t="s">
        <v>51</v>
      </c>
      <c r="BF2" s="1" t="s">
        <v>52</v>
      </c>
      <c r="BG2" s="1" t="s">
        <v>53</v>
      </c>
      <c r="BH2" s="1" t="s">
        <v>54</v>
      </c>
      <c r="BI2" s="1" t="s">
        <v>55</v>
      </c>
      <c r="BJ2" s="1" t="s">
        <v>56</v>
      </c>
      <c r="BK2" s="1" t="s">
        <v>57</v>
      </c>
      <c r="BL2" s="1" t="s">
        <v>58</v>
      </c>
      <c r="BM2" s="1" t="s">
        <v>59</v>
      </c>
      <c r="BN2" s="1" t="s">
        <v>60</v>
      </c>
      <c r="BO2" s="1" t="s">
        <v>61</v>
      </c>
      <c r="BP2" s="1" t="s">
        <v>62</v>
      </c>
      <c r="BQ2" s="1" t="s">
        <v>63</v>
      </c>
      <c r="BR2" s="1" t="s">
        <v>64</v>
      </c>
      <c r="BS2" s="1" t="s">
        <v>65</v>
      </c>
      <c r="BT2" s="1" t="s">
        <v>66</v>
      </c>
      <c r="BU2" s="1" t="s">
        <v>67</v>
      </c>
      <c r="BV2" s="1" t="s">
        <v>68</v>
      </c>
      <c r="BW2" s="1" t="s">
        <v>69</v>
      </c>
      <c r="BX2" s="1" t="s">
        <v>70</v>
      </c>
      <c r="BY2" s="1" t="s">
        <v>71</v>
      </c>
      <c r="BZ2" s="1" t="s">
        <v>72</v>
      </c>
      <c r="CA2" s="1" t="s">
        <v>73</v>
      </c>
      <c r="CB2" s="1" t="s">
        <v>74</v>
      </c>
      <c r="CC2" s="1" t="s">
        <v>75</v>
      </c>
      <c r="CD2" s="1" t="s">
        <v>76</v>
      </c>
      <c r="CE2" s="1" t="s">
        <v>77</v>
      </c>
      <c r="CF2" s="1" t="s">
        <v>78</v>
      </c>
      <c r="CG2" s="1" t="s">
        <v>79</v>
      </c>
      <c r="CH2" s="1" t="s">
        <v>80</v>
      </c>
      <c r="CI2" s="1" t="s">
        <v>81</v>
      </c>
      <c r="CJ2" s="1" t="s">
        <v>82</v>
      </c>
      <c r="CK2" s="1" t="s">
        <v>83</v>
      </c>
      <c r="CL2" s="1" t="s">
        <v>84</v>
      </c>
      <c r="CM2" s="1" t="s">
        <v>85</v>
      </c>
      <c r="CN2" s="1" t="s">
        <v>86</v>
      </c>
      <c r="CO2" s="1" t="s">
        <v>87</v>
      </c>
      <c r="CP2" s="1" t="s">
        <v>88</v>
      </c>
      <c r="CQ2" s="1" t="s">
        <v>89</v>
      </c>
      <c r="CR2" s="1" t="s">
        <v>90</v>
      </c>
      <c r="CS2" s="1" t="s">
        <v>91</v>
      </c>
      <c r="CT2" s="1" t="s">
        <v>92</v>
      </c>
      <c r="CU2" s="1" t="s">
        <v>93</v>
      </c>
      <c r="CV2" s="1" t="s">
        <v>94</v>
      </c>
      <c r="CW2" s="1" t="s">
        <v>95</v>
      </c>
      <c r="CX2" s="1" t="s">
        <v>96</v>
      </c>
      <c r="CY2" s="1" t="s">
        <v>97</v>
      </c>
      <c r="CZ2" s="1" t="s">
        <v>98</v>
      </c>
      <c r="DA2" s="1" t="s">
        <v>99</v>
      </c>
      <c r="DB2" s="1" t="s">
        <v>100</v>
      </c>
      <c r="DC2" s="1" t="s">
        <v>101</v>
      </c>
      <c r="DD2" s="1" t="s">
        <v>102</v>
      </c>
      <c r="DE2" s="1" t="s">
        <v>103</v>
      </c>
      <c r="DF2" s="1" t="s">
        <v>104</v>
      </c>
      <c r="DG2" s="1" t="s">
        <v>105</v>
      </c>
      <c r="DH2" s="1" t="s">
        <v>106</v>
      </c>
      <c r="DI2" s="1" t="s">
        <v>107</v>
      </c>
      <c r="DJ2" s="1" t="s">
        <v>108</v>
      </c>
      <c r="DK2" s="1" t="s">
        <v>109</v>
      </c>
      <c r="DL2" s="1" t="s">
        <v>110</v>
      </c>
      <c r="DM2" s="1" t="s">
        <v>111</v>
      </c>
      <c r="DN2" s="1" t="s">
        <v>112</v>
      </c>
      <c r="DO2" s="1" t="s">
        <v>113</v>
      </c>
      <c r="DP2" s="1" t="s">
        <v>114</v>
      </c>
      <c r="DQ2" s="1" t="s">
        <v>115</v>
      </c>
      <c r="DR2" s="1" t="s">
        <v>116</v>
      </c>
      <c r="DS2" s="1" t="s">
        <v>117</v>
      </c>
      <c r="DT2" s="1" t="s">
        <v>118</v>
      </c>
      <c r="DU2" s="1" t="s">
        <v>119</v>
      </c>
      <c r="DV2" s="1" t="s">
        <v>120</v>
      </c>
      <c r="DW2" s="1" t="s">
        <v>121</v>
      </c>
      <c r="DX2" s="1" t="s">
        <v>122</v>
      </c>
      <c r="DY2" s="1" t="s">
        <v>123</v>
      </c>
      <c r="DZ2" s="1" t="s">
        <v>124</v>
      </c>
      <c r="EA2" s="1" t="s">
        <v>125</v>
      </c>
      <c r="EB2" s="1" t="s">
        <v>126</v>
      </c>
      <c r="EC2" s="1" t="s">
        <v>127</v>
      </c>
      <c r="ED2" s="1" t="s">
        <v>128</v>
      </c>
      <c r="EE2" s="1" t="s">
        <v>129</v>
      </c>
      <c r="EF2" s="1" t="s">
        <v>130</v>
      </c>
      <c r="EG2" s="1" t="s">
        <v>131</v>
      </c>
      <c r="EH2" s="1" t="s">
        <v>132</v>
      </c>
      <c r="EI2" s="1" t="s">
        <v>133</v>
      </c>
      <c r="EJ2" s="1" t="s">
        <v>136</v>
      </c>
      <c r="EK2" s="1"/>
      <c r="EL2" s="1"/>
      <c r="EM2" s="1"/>
      <c r="EN2" s="1"/>
      <c r="EO2" s="1"/>
      <c r="EP2" s="1"/>
      <c r="EQ2" s="2"/>
      <c r="ER2" s="1"/>
      <c r="ES2" s="1"/>
      <c r="ET2" s="1"/>
      <c r="EU2" s="1"/>
      <c r="EV2" s="1"/>
      <c r="EW2" s="1"/>
    </row>
    <row r="3" spans="1:153" ht="84" customHeight="1" thickBot="1" x14ac:dyDescent="0.3">
      <c r="A3" s="3" t="s">
        <v>308</v>
      </c>
      <c r="B3" s="1" t="s">
        <v>309</v>
      </c>
      <c r="C3" s="3">
        <v>1997</v>
      </c>
      <c r="D3" s="3">
        <v>7966023</v>
      </c>
      <c r="E3" s="1" t="s">
        <v>310</v>
      </c>
      <c r="F3" s="1" t="s">
        <v>311</v>
      </c>
      <c r="G3" s="1" t="s">
        <v>312</v>
      </c>
      <c r="H3" s="3">
        <v>5</v>
      </c>
      <c r="I3" s="3">
        <v>4</v>
      </c>
      <c r="J3" s="3">
        <v>4</v>
      </c>
      <c r="K3" s="3">
        <v>3</v>
      </c>
      <c r="L3" s="3">
        <v>2</v>
      </c>
      <c r="M3" s="3">
        <v>2</v>
      </c>
      <c r="N3" s="3">
        <v>2</v>
      </c>
      <c r="O3" s="3">
        <v>4</v>
      </c>
      <c r="P3" s="3">
        <v>2</v>
      </c>
      <c r="Q3" s="3">
        <v>4</v>
      </c>
      <c r="R3" s="3">
        <v>3</v>
      </c>
      <c r="S3" s="3">
        <v>3</v>
      </c>
      <c r="T3" s="3">
        <v>3</v>
      </c>
      <c r="U3" s="3">
        <v>3</v>
      </c>
      <c r="V3" s="3">
        <v>3</v>
      </c>
      <c r="W3" s="3">
        <v>2</v>
      </c>
      <c r="X3" s="3">
        <v>1</v>
      </c>
      <c r="Y3" s="3">
        <v>3</v>
      </c>
      <c r="Z3" s="3">
        <v>3</v>
      </c>
      <c r="AA3" s="3">
        <v>3</v>
      </c>
      <c r="AB3" s="3">
        <v>2</v>
      </c>
      <c r="AC3" s="3">
        <v>5</v>
      </c>
      <c r="AD3" s="3">
        <v>5</v>
      </c>
      <c r="AE3" s="3">
        <v>4</v>
      </c>
      <c r="AF3" s="3">
        <v>4</v>
      </c>
      <c r="AG3" s="3">
        <v>3</v>
      </c>
      <c r="AH3" s="3">
        <v>3</v>
      </c>
      <c r="AI3" s="3">
        <v>3</v>
      </c>
      <c r="AJ3" s="3">
        <v>4</v>
      </c>
      <c r="AK3" s="3">
        <v>4</v>
      </c>
      <c r="AL3" s="3">
        <v>2</v>
      </c>
      <c r="AM3" s="3">
        <v>4</v>
      </c>
      <c r="AN3" s="3">
        <v>3</v>
      </c>
      <c r="AO3" s="3">
        <v>4</v>
      </c>
      <c r="AP3" s="3">
        <v>2</v>
      </c>
      <c r="AQ3" s="3">
        <v>2</v>
      </c>
      <c r="AR3" s="3">
        <v>3</v>
      </c>
      <c r="AS3" s="3">
        <v>3</v>
      </c>
      <c r="AT3" s="3">
        <v>4</v>
      </c>
      <c r="AU3" s="3">
        <v>4</v>
      </c>
      <c r="AV3" s="3">
        <v>4</v>
      </c>
      <c r="AW3" s="3">
        <v>3</v>
      </c>
      <c r="AX3" s="3">
        <v>2</v>
      </c>
      <c r="AY3" s="3">
        <v>3</v>
      </c>
      <c r="AZ3" s="3">
        <v>4</v>
      </c>
      <c r="BA3" s="3">
        <v>4</v>
      </c>
      <c r="BB3" s="3">
        <v>3</v>
      </c>
      <c r="BC3" s="3">
        <v>3</v>
      </c>
      <c r="BD3" s="3">
        <v>4</v>
      </c>
      <c r="BE3" s="3">
        <v>2</v>
      </c>
      <c r="BF3" s="3">
        <v>3</v>
      </c>
      <c r="BG3" s="3">
        <v>4</v>
      </c>
      <c r="BH3" s="3">
        <v>4</v>
      </c>
      <c r="BI3" s="3">
        <v>3</v>
      </c>
      <c r="BJ3" s="3">
        <v>3</v>
      </c>
      <c r="BK3" s="3">
        <v>5</v>
      </c>
      <c r="BL3" s="3">
        <v>2</v>
      </c>
      <c r="BM3" s="3">
        <v>2</v>
      </c>
      <c r="BN3" s="3">
        <v>4</v>
      </c>
      <c r="BO3" s="3">
        <v>3</v>
      </c>
      <c r="BP3" s="3">
        <v>4</v>
      </c>
      <c r="BQ3" s="3">
        <v>3</v>
      </c>
      <c r="BR3" s="3">
        <v>3</v>
      </c>
      <c r="BS3" s="3">
        <v>4</v>
      </c>
      <c r="BT3" s="3">
        <v>2</v>
      </c>
      <c r="BU3" s="3">
        <v>4</v>
      </c>
      <c r="BV3" s="3">
        <v>2</v>
      </c>
      <c r="BW3" s="3">
        <v>3</v>
      </c>
      <c r="BX3" s="3">
        <v>4</v>
      </c>
      <c r="BY3" s="3">
        <v>4</v>
      </c>
      <c r="BZ3" s="3">
        <v>3</v>
      </c>
      <c r="CA3" s="3">
        <v>4</v>
      </c>
      <c r="CB3" s="3">
        <v>4</v>
      </c>
      <c r="CC3" s="3">
        <v>4</v>
      </c>
      <c r="CD3" s="3">
        <v>3</v>
      </c>
      <c r="CE3" s="3">
        <v>1</v>
      </c>
      <c r="CF3" s="3">
        <v>4</v>
      </c>
      <c r="CG3" s="3">
        <v>1</v>
      </c>
      <c r="CH3" s="3">
        <v>4</v>
      </c>
      <c r="CI3" s="3">
        <v>2</v>
      </c>
      <c r="CJ3" s="3">
        <v>3</v>
      </c>
      <c r="CK3" s="3">
        <v>2</v>
      </c>
      <c r="CL3" s="3">
        <v>4</v>
      </c>
      <c r="CM3" s="3">
        <v>1</v>
      </c>
      <c r="CN3" s="3">
        <v>4</v>
      </c>
      <c r="CO3" s="3">
        <v>3</v>
      </c>
      <c r="CP3" s="3">
        <v>4</v>
      </c>
      <c r="CQ3" s="3">
        <v>4</v>
      </c>
      <c r="CR3" s="3">
        <v>3</v>
      </c>
      <c r="CS3" s="3">
        <v>2</v>
      </c>
      <c r="CT3" s="3">
        <v>2</v>
      </c>
      <c r="CU3" s="3">
        <v>3</v>
      </c>
      <c r="CV3" s="3">
        <v>4</v>
      </c>
      <c r="CW3" s="3">
        <v>4</v>
      </c>
      <c r="CX3" s="3">
        <v>3</v>
      </c>
      <c r="CY3" s="3">
        <v>4</v>
      </c>
      <c r="CZ3" s="3">
        <v>4</v>
      </c>
      <c r="DA3" s="3">
        <v>4</v>
      </c>
      <c r="DB3" s="3">
        <v>1</v>
      </c>
      <c r="DC3" s="3">
        <v>5</v>
      </c>
      <c r="DD3" s="3">
        <v>3</v>
      </c>
      <c r="DE3" s="3">
        <v>4</v>
      </c>
      <c r="DF3" s="3">
        <v>2</v>
      </c>
      <c r="DG3" s="3">
        <v>4</v>
      </c>
      <c r="DH3" s="3">
        <v>4</v>
      </c>
      <c r="DI3" s="3">
        <v>2</v>
      </c>
      <c r="DJ3" s="3">
        <v>3</v>
      </c>
      <c r="DK3" s="3">
        <v>3</v>
      </c>
      <c r="DL3" s="3">
        <v>4</v>
      </c>
      <c r="DM3" s="3">
        <v>4</v>
      </c>
      <c r="DN3" s="3">
        <v>4</v>
      </c>
      <c r="DO3" s="3">
        <v>2</v>
      </c>
      <c r="DP3" s="3">
        <v>2</v>
      </c>
      <c r="DQ3" s="3">
        <v>4</v>
      </c>
      <c r="DR3" s="3">
        <v>4</v>
      </c>
      <c r="DS3" s="3">
        <v>4</v>
      </c>
      <c r="DT3" s="3">
        <v>2</v>
      </c>
      <c r="DU3" s="3">
        <v>4</v>
      </c>
      <c r="DV3" s="3">
        <v>2</v>
      </c>
      <c r="DW3" s="3">
        <v>3</v>
      </c>
      <c r="DX3" s="3">
        <v>2</v>
      </c>
      <c r="DY3" s="3">
        <v>2</v>
      </c>
      <c r="DZ3" s="3">
        <v>3</v>
      </c>
      <c r="EA3" s="3">
        <v>2</v>
      </c>
      <c r="EB3" s="3">
        <v>3</v>
      </c>
      <c r="EC3" s="3">
        <v>3</v>
      </c>
      <c r="ED3" s="3">
        <v>3</v>
      </c>
      <c r="EE3" s="3">
        <v>4</v>
      </c>
      <c r="EF3" s="3">
        <v>3</v>
      </c>
      <c r="EG3" s="3">
        <v>2</v>
      </c>
      <c r="EH3" s="3">
        <v>3</v>
      </c>
      <c r="EI3" s="3">
        <v>4</v>
      </c>
      <c r="EJ3" s="3">
        <v>60349902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</row>
  </sheetData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EB43"/>
  <sheetViews>
    <sheetView topLeftCell="AZ16" workbookViewId="0">
      <selection activeCell="BI18" sqref="BI18"/>
    </sheetView>
  </sheetViews>
  <sheetFormatPr baseColWidth="10" defaultRowHeight="15" x14ac:dyDescent="0.25"/>
  <cols>
    <col min="1" max="1" width="11.85546875" bestFit="1" customWidth="1"/>
    <col min="5" max="5" width="11.85546875" bestFit="1" customWidth="1"/>
    <col min="7" max="7" width="13.7109375" customWidth="1"/>
    <col min="8" max="8" width="12.7109375" customWidth="1"/>
    <col min="14" max="14" width="12.5703125" customWidth="1"/>
    <col min="23" max="54" width="4.42578125" customWidth="1"/>
    <col min="56" max="56" width="17.85546875" customWidth="1"/>
    <col min="57" max="57" width="5" customWidth="1"/>
    <col min="63" max="63" width="7.5703125" customWidth="1"/>
    <col min="64" max="64" width="9.7109375" customWidth="1"/>
    <col min="65" max="65" width="6.5703125" customWidth="1"/>
    <col min="71" max="71" width="4.140625" customWidth="1"/>
  </cols>
  <sheetData>
    <row r="1" spans="1:132" x14ac:dyDescent="0.25">
      <c r="A1" t="s">
        <v>139</v>
      </c>
    </row>
    <row r="2" spans="1:132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  <c r="BA2">
        <v>53</v>
      </c>
      <c r="BB2">
        <v>54</v>
      </c>
      <c r="BC2">
        <v>55</v>
      </c>
      <c r="BD2">
        <v>56</v>
      </c>
      <c r="BE2">
        <v>57</v>
      </c>
      <c r="BF2">
        <v>58</v>
      </c>
      <c r="BG2">
        <v>59</v>
      </c>
      <c r="BH2">
        <v>60</v>
      </c>
      <c r="BI2">
        <v>61</v>
      </c>
      <c r="BJ2">
        <v>62</v>
      </c>
      <c r="BK2">
        <v>63</v>
      </c>
      <c r="BL2">
        <v>64</v>
      </c>
      <c r="BM2">
        <v>65</v>
      </c>
      <c r="BN2">
        <v>66</v>
      </c>
      <c r="BO2">
        <v>67</v>
      </c>
      <c r="BP2">
        <v>68</v>
      </c>
      <c r="BQ2">
        <v>69</v>
      </c>
      <c r="BR2">
        <v>70</v>
      </c>
      <c r="BS2">
        <v>71</v>
      </c>
      <c r="BT2">
        <v>72</v>
      </c>
      <c r="BU2">
        <v>73</v>
      </c>
      <c r="BV2">
        <v>74</v>
      </c>
      <c r="BW2">
        <v>75</v>
      </c>
      <c r="BX2">
        <v>76</v>
      </c>
      <c r="BY2">
        <v>77</v>
      </c>
      <c r="BZ2">
        <v>78</v>
      </c>
      <c r="CA2">
        <v>79</v>
      </c>
      <c r="CB2">
        <v>80</v>
      </c>
      <c r="CC2">
        <v>81</v>
      </c>
      <c r="CD2">
        <v>82</v>
      </c>
      <c r="CE2">
        <v>83</v>
      </c>
      <c r="CF2">
        <v>84</v>
      </c>
      <c r="CG2">
        <v>85</v>
      </c>
      <c r="CH2">
        <v>86</v>
      </c>
      <c r="CI2">
        <v>87</v>
      </c>
      <c r="CJ2">
        <v>88</v>
      </c>
      <c r="CK2">
        <v>89</v>
      </c>
      <c r="CL2">
        <v>90</v>
      </c>
      <c r="CM2">
        <v>91</v>
      </c>
      <c r="CN2">
        <v>92</v>
      </c>
      <c r="CO2">
        <v>93</v>
      </c>
      <c r="CP2">
        <v>94</v>
      </c>
      <c r="CQ2">
        <v>95</v>
      </c>
      <c r="CR2">
        <v>96</v>
      </c>
      <c r="CS2">
        <v>97</v>
      </c>
      <c r="CT2">
        <v>98</v>
      </c>
      <c r="CU2">
        <v>99</v>
      </c>
      <c r="CV2">
        <v>100</v>
      </c>
      <c r="CW2">
        <v>101</v>
      </c>
      <c r="CX2">
        <v>102</v>
      </c>
      <c r="CY2">
        <v>103</v>
      </c>
      <c r="CZ2">
        <v>104</v>
      </c>
      <c r="DA2">
        <v>105</v>
      </c>
      <c r="DB2">
        <v>106</v>
      </c>
      <c r="DC2">
        <v>107</v>
      </c>
      <c r="DD2">
        <v>108</v>
      </c>
      <c r="DE2">
        <v>109</v>
      </c>
      <c r="DF2">
        <v>110</v>
      </c>
      <c r="DG2">
        <v>111</v>
      </c>
      <c r="DH2">
        <v>112</v>
      </c>
      <c r="DI2">
        <v>113</v>
      </c>
      <c r="DJ2">
        <v>114</v>
      </c>
      <c r="DK2">
        <v>115</v>
      </c>
      <c r="DL2">
        <v>116</v>
      </c>
      <c r="DM2">
        <v>117</v>
      </c>
      <c r="DN2">
        <v>118</v>
      </c>
      <c r="DO2">
        <v>119</v>
      </c>
      <c r="DP2">
        <v>120</v>
      </c>
      <c r="DQ2">
        <v>121</v>
      </c>
      <c r="DR2">
        <v>122</v>
      </c>
      <c r="DS2">
        <v>123</v>
      </c>
      <c r="DT2">
        <v>124</v>
      </c>
      <c r="DU2">
        <v>125</v>
      </c>
      <c r="DV2">
        <v>126</v>
      </c>
      <c r="DW2">
        <v>127</v>
      </c>
      <c r="DX2">
        <v>128</v>
      </c>
      <c r="DY2">
        <v>129</v>
      </c>
      <c r="DZ2">
        <v>130</v>
      </c>
      <c r="EA2">
        <v>131</v>
      </c>
      <c r="EB2">
        <v>132</v>
      </c>
    </row>
    <row r="3" spans="1:132" x14ac:dyDescent="0.25">
      <c r="A3">
        <f>Datos!H3</f>
        <v>5</v>
      </c>
      <c r="B3">
        <f>Datos!I3</f>
        <v>4</v>
      </c>
      <c r="C3">
        <f>Datos!J3</f>
        <v>4</v>
      </c>
      <c r="D3">
        <f>Datos!K3</f>
        <v>3</v>
      </c>
      <c r="E3">
        <f>Datos!L3</f>
        <v>2</v>
      </c>
      <c r="F3">
        <f>Datos!M3</f>
        <v>2</v>
      </c>
      <c r="G3">
        <f>Datos!N3</f>
        <v>2</v>
      </c>
      <c r="H3">
        <f>Datos!O3</f>
        <v>4</v>
      </c>
      <c r="I3">
        <f>Datos!P3</f>
        <v>2</v>
      </c>
      <c r="J3">
        <f>Datos!Q3</f>
        <v>4</v>
      </c>
      <c r="K3">
        <f>Datos!R3</f>
        <v>3</v>
      </c>
      <c r="L3">
        <f>Datos!S3</f>
        <v>3</v>
      </c>
      <c r="M3">
        <f>Datos!T3</f>
        <v>3</v>
      </c>
      <c r="N3">
        <f>Datos!U3</f>
        <v>3</v>
      </c>
      <c r="O3">
        <f>Datos!V3</f>
        <v>3</v>
      </c>
      <c r="P3">
        <f>Datos!W3</f>
        <v>2</v>
      </c>
      <c r="Q3">
        <f>Datos!X3</f>
        <v>1</v>
      </c>
      <c r="R3">
        <f>Datos!Y3</f>
        <v>3</v>
      </c>
      <c r="S3">
        <f>Datos!Z3</f>
        <v>3</v>
      </c>
      <c r="T3">
        <f>Datos!AA3</f>
        <v>3</v>
      </c>
      <c r="U3">
        <f>Datos!AB3</f>
        <v>2</v>
      </c>
      <c r="V3">
        <f>Datos!AC3</f>
        <v>5</v>
      </c>
      <c r="W3">
        <f>Datos!AD3</f>
        <v>5</v>
      </c>
      <c r="X3">
        <f>Datos!AE3</f>
        <v>4</v>
      </c>
      <c r="Y3">
        <f>Datos!AF3</f>
        <v>4</v>
      </c>
      <c r="Z3">
        <f>Datos!AG3</f>
        <v>3</v>
      </c>
      <c r="AA3">
        <f>Datos!AH3</f>
        <v>3</v>
      </c>
      <c r="AB3">
        <f>Datos!AI3</f>
        <v>3</v>
      </c>
      <c r="AC3">
        <f>Datos!AJ3</f>
        <v>4</v>
      </c>
      <c r="AD3">
        <f>Datos!AK3</f>
        <v>4</v>
      </c>
      <c r="AE3">
        <f>Datos!AL3</f>
        <v>2</v>
      </c>
      <c r="AF3">
        <f>Datos!AM3</f>
        <v>4</v>
      </c>
      <c r="AG3">
        <f>Datos!AN3</f>
        <v>3</v>
      </c>
      <c r="AH3">
        <f>Datos!AO3</f>
        <v>4</v>
      </c>
      <c r="AI3">
        <f>Datos!AP3</f>
        <v>2</v>
      </c>
      <c r="AJ3">
        <f>Datos!AQ3</f>
        <v>2</v>
      </c>
      <c r="AK3">
        <f>Datos!AR3</f>
        <v>3</v>
      </c>
      <c r="AL3">
        <f>Datos!AS3</f>
        <v>3</v>
      </c>
      <c r="AM3">
        <f>Datos!AT3</f>
        <v>4</v>
      </c>
      <c r="AN3">
        <f>Datos!AU3</f>
        <v>4</v>
      </c>
      <c r="AO3">
        <f>Datos!AV3</f>
        <v>4</v>
      </c>
      <c r="AP3">
        <f>Datos!AW3</f>
        <v>3</v>
      </c>
      <c r="AQ3">
        <f>Datos!AX3</f>
        <v>2</v>
      </c>
      <c r="AR3">
        <f>Datos!AY3</f>
        <v>3</v>
      </c>
      <c r="AS3">
        <f>Datos!AZ3</f>
        <v>4</v>
      </c>
      <c r="AT3">
        <f>Datos!BA3</f>
        <v>4</v>
      </c>
      <c r="AU3">
        <f>Datos!BB3</f>
        <v>3</v>
      </c>
      <c r="AV3">
        <f>Datos!BC3</f>
        <v>3</v>
      </c>
      <c r="AW3">
        <f>Datos!BD3</f>
        <v>4</v>
      </c>
      <c r="AX3">
        <f>Datos!BE3</f>
        <v>2</v>
      </c>
      <c r="AY3">
        <f>Datos!BF3</f>
        <v>3</v>
      </c>
      <c r="AZ3">
        <f>Datos!BG3</f>
        <v>4</v>
      </c>
      <c r="BA3">
        <f>Datos!BH3</f>
        <v>4</v>
      </c>
      <c r="BB3">
        <f>Datos!BI3</f>
        <v>3</v>
      </c>
      <c r="BC3">
        <f>Datos!BJ3</f>
        <v>3</v>
      </c>
      <c r="BD3">
        <f>Datos!BK3</f>
        <v>5</v>
      </c>
      <c r="BE3">
        <f>Datos!BL3</f>
        <v>2</v>
      </c>
      <c r="BF3">
        <f>Datos!BM3</f>
        <v>2</v>
      </c>
      <c r="BG3">
        <f>Datos!BN3</f>
        <v>4</v>
      </c>
      <c r="BH3">
        <f>Datos!BO3</f>
        <v>3</v>
      </c>
      <c r="BI3">
        <f>Datos!BP3</f>
        <v>4</v>
      </c>
      <c r="BJ3">
        <f>Datos!BQ3</f>
        <v>3</v>
      </c>
      <c r="BK3">
        <f>Datos!BR3</f>
        <v>3</v>
      </c>
      <c r="BL3">
        <f>Datos!BS3</f>
        <v>4</v>
      </c>
      <c r="BM3">
        <f>Datos!BT3</f>
        <v>2</v>
      </c>
      <c r="BN3">
        <f>Datos!BU3</f>
        <v>4</v>
      </c>
      <c r="BO3">
        <f>Datos!BV3</f>
        <v>2</v>
      </c>
      <c r="BP3">
        <f>Datos!BW3</f>
        <v>3</v>
      </c>
      <c r="BQ3">
        <f>Datos!BX3</f>
        <v>4</v>
      </c>
      <c r="BR3">
        <f>Datos!BY3</f>
        <v>4</v>
      </c>
      <c r="BS3">
        <f>Datos!BZ3</f>
        <v>3</v>
      </c>
      <c r="BT3">
        <f>Datos!CA3</f>
        <v>4</v>
      </c>
      <c r="BU3">
        <f>Datos!CB3</f>
        <v>4</v>
      </c>
      <c r="BV3">
        <f>Datos!CC3</f>
        <v>4</v>
      </c>
      <c r="BW3">
        <f>Datos!CD3</f>
        <v>3</v>
      </c>
      <c r="BX3">
        <f>Datos!CE3</f>
        <v>1</v>
      </c>
      <c r="BY3">
        <f>Datos!CF3</f>
        <v>4</v>
      </c>
      <c r="BZ3">
        <f>Datos!CG3</f>
        <v>1</v>
      </c>
      <c r="CA3">
        <f>Datos!CH3</f>
        <v>4</v>
      </c>
      <c r="CB3">
        <f>Datos!CI3</f>
        <v>2</v>
      </c>
      <c r="CC3">
        <f>Datos!CJ3</f>
        <v>3</v>
      </c>
      <c r="CD3">
        <f>Datos!CK3</f>
        <v>2</v>
      </c>
      <c r="CE3">
        <f>Datos!CL3</f>
        <v>4</v>
      </c>
      <c r="CF3">
        <f>Datos!CM3</f>
        <v>1</v>
      </c>
      <c r="CG3">
        <f>Datos!CN3</f>
        <v>4</v>
      </c>
      <c r="CH3">
        <f>Datos!CO3</f>
        <v>3</v>
      </c>
      <c r="CI3">
        <f>Datos!CP3</f>
        <v>4</v>
      </c>
      <c r="CJ3">
        <f>Datos!CQ3</f>
        <v>4</v>
      </c>
      <c r="CK3">
        <f>Datos!CR3</f>
        <v>3</v>
      </c>
      <c r="CL3">
        <f>Datos!CS3</f>
        <v>2</v>
      </c>
      <c r="CM3">
        <f>Datos!CT3</f>
        <v>2</v>
      </c>
      <c r="CN3">
        <f>Datos!CU3</f>
        <v>3</v>
      </c>
      <c r="CO3">
        <f>Datos!CV3</f>
        <v>4</v>
      </c>
      <c r="CP3">
        <f>Datos!CW3</f>
        <v>4</v>
      </c>
      <c r="CQ3">
        <f>Datos!CX3</f>
        <v>3</v>
      </c>
      <c r="CR3">
        <f>Datos!CY3</f>
        <v>4</v>
      </c>
      <c r="CS3">
        <f>Datos!CZ3</f>
        <v>4</v>
      </c>
      <c r="CT3">
        <f>Datos!DA3</f>
        <v>4</v>
      </c>
      <c r="CU3">
        <f>Datos!DB3</f>
        <v>1</v>
      </c>
      <c r="CV3">
        <f>Datos!DC3</f>
        <v>5</v>
      </c>
      <c r="CW3">
        <f>Datos!DD3</f>
        <v>3</v>
      </c>
      <c r="CX3">
        <f>Datos!DE3</f>
        <v>4</v>
      </c>
      <c r="CY3">
        <f>Datos!DF3</f>
        <v>2</v>
      </c>
      <c r="CZ3">
        <f>Datos!DG3</f>
        <v>4</v>
      </c>
      <c r="DA3">
        <f>Datos!DH3</f>
        <v>4</v>
      </c>
      <c r="DB3">
        <f>Datos!DI3</f>
        <v>2</v>
      </c>
      <c r="DC3">
        <f>Datos!DJ3</f>
        <v>3</v>
      </c>
      <c r="DD3">
        <f>Datos!DK3</f>
        <v>3</v>
      </c>
      <c r="DE3">
        <f>Datos!DL3</f>
        <v>4</v>
      </c>
      <c r="DF3">
        <f>Datos!DM3</f>
        <v>4</v>
      </c>
      <c r="DG3">
        <f>Datos!DN3</f>
        <v>4</v>
      </c>
      <c r="DH3">
        <f>Datos!DO3</f>
        <v>2</v>
      </c>
      <c r="DI3">
        <f>Datos!DP3</f>
        <v>2</v>
      </c>
      <c r="DJ3">
        <f>Datos!DQ3</f>
        <v>4</v>
      </c>
      <c r="DK3">
        <f>Datos!DR3</f>
        <v>4</v>
      </c>
      <c r="DL3">
        <f>Datos!DS3</f>
        <v>4</v>
      </c>
      <c r="DM3">
        <f>Datos!DT3</f>
        <v>2</v>
      </c>
      <c r="DN3">
        <f>Datos!DU3</f>
        <v>4</v>
      </c>
      <c r="DO3">
        <f>Datos!DV3</f>
        <v>2</v>
      </c>
      <c r="DP3">
        <f>Datos!DW3</f>
        <v>3</v>
      </c>
      <c r="DQ3">
        <f>Datos!DX3</f>
        <v>2</v>
      </c>
      <c r="DR3">
        <f>Datos!DY3</f>
        <v>2</v>
      </c>
      <c r="DS3">
        <f>Datos!DZ3</f>
        <v>3</v>
      </c>
      <c r="DT3">
        <f>Datos!EA3</f>
        <v>2</v>
      </c>
      <c r="DU3">
        <f>Datos!EB3</f>
        <v>3</v>
      </c>
      <c r="DV3">
        <f>Datos!EC3</f>
        <v>3</v>
      </c>
      <c r="DW3">
        <f>Datos!ED3</f>
        <v>3</v>
      </c>
      <c r="DX3">
        <f>Datos!EE3</f>
        <v>4</v>
      </c>
      <c r="DY3">
        <f>Datos!EF3</f>
        <v>3</v>
      </c>
      <c r="DZ3">
        <f>Datos!EG3</f>
        <v>2</v>
      </c>
      <c r="EA3">
        <f>Datos!EH3</f>
        <v>3</v>
      </c>
      <c r="EB3">
        <f>Datos!EI3</f>
        <v>4</v>
      </c>
    </row>
    <row r="6" spans="1:132" ht="15.75" thickBot="1" x14ac:dyDescent="0.3"/>
    <row r="7" spans="1:132" x14ac:dyDescent="0.25">
      <c r="A7" s="6" t="s">
        <v>140</v>
      </c>
      <c r="B7" s="7" t="s">
        <v>141</v>
      </c>
      <c r="D7" s="6" t="s">
        <v>143</v>
      </c>
      <c r="E7" s="7" t="s">
        <v>144</v>
      </c>
      <c r="G7" s="6" t="s">
        <v>146</v>
      </c>
      <c r="H7" s="7" t="s">
        <v>147</v>
      </c>
      <c r="J7" s="6" t="s">
        <v>149</v>
      </c>
      <c r="K7" s="7" t="s">
        <v>150</v>
      </c>
      <c r="M7" s="6" t="s">
        <v>152</v>
      </c>
      <c r="N7" s="7" t="s">
        <v>153</v>
      </c>
      <c r="P7" s="6" t="s">
        <v>156</v>
      </c>
      <c r="Q7" s="7" t="s">
        <v>157</v>
      </c>
    </row>
    <row r="8" spans="1:132" x14ac:dyDescent="0.25">
      <c r="A8" s="8">
        <f>36+(A3+Y3+BA3+BP3+CP3+DJ3)-(G3+AK3+AY3+BZ3+CU3+DQ3)</f>
        <v>48</v>
      </c>
      <c r="B8" s="9">
        <f>36+(M3+AM3+BG3+BU3+CX3+DM3)-(S3+AE3+BI3+BS3+CQ3+DS3)</f>
        <v>39</v>
      </c>
      <c r="D8" s="8">
        <f>36+(J3+AH3+AV3+CH3+DE3+DG3)-(D3+AB3+BL3+BR3+CV3+DZ3)</f>
        <v>37</v>
      </c>
      <c r="E8" s="9">
        <f>36+(V3+AR3+AZ3+CJ3+CO3+DV3)-(P3+AN3+BM3+BV3+DD3+DX3)</f>
        <v>40</v>
      </c>
      <c r="G8" s="8">
        <f>36+(H3+Z3+BE3+CA3+DB3+DY3)-(B3+AF3+BN3+CD3+DF3+EB3)</f>
        <v>32</v>
      </c>
      <c r="H8" s="9">
        <f>36+(T3+AT3+AW3+BW3+CR3+DK3)-(N3+AL3+BB3+CG3+DC3+DU3)</f>
        <v>39</v>
      </c>
      <c r="J8" s="8">
        <f>36+(I3+AA3+AX3+CC3+CK3+DR3)-(C3+AG3+BJ3+BQ3+CT3+DP3)</f>
        <v>30</v>
      </c>
      <c r="K8" s="9">
        <f>36+(U3+AQ3+BF3+BX3+CM3+DO3)-(O3+AS3+BK3+CE3+CZ3+DL3)</f>
        <v>25</v>
      </c>
      <c r="M8" s="8">
        <f>36+(E3+AC3+BH3+CI3+DA3+DH3)-(K3+AP3+BC3+BY3+CL3+DT3)</f>
        <v>38</v>
      </c>
      <c r="N8" s="9">
        <f>36+(W3+AO3+BD3+BT3+CS3+DN3)-(Q3+AI3+AU3+BO3+CY3+EA3)</f>
        <v>49</v>
      </c>
      <c r="P8" s="8">
        <f>R3+X3+AD3+CB3+CW3+DW3</f>
        <v>19</v>
      </c>
      <c r="Q8" s="9">
        <f>F3+L3+AJ3+CF3+CN3+DI3</f>
        <v>13</v>
      </c>
    </row>
    <row r="9" spans="1:132" x14ac:dyDescent="0.25">
      <c r="A9" s="8">
        <f t="array" ref="A9">INDEX($A$16:$A$46, MATCH(MIN(ABS(B16:B46-A8)), ABS(B16:B46-A8),))</f>
        <v>85</v>
      </c>
      <c r="B9" s="8">
        <f t="array" ref="B9">INDEX($A$16:$A$46, MATCH(MIN(ABS(C16:C46-B8)), ABS(C16:C46-B8),))</f>
        <v>45</v>
      </c>
      <c r="C9" t="s">
        <v>165</v>
      </c>
      <c r="D9" s="8">
        <f t="array" ref="D9">INDEX($A$16:$A$46, MATCH(MIN(ABS(E16:E46-D8)), ABS(E16:E46-D8),))</f>
        <v>4</v>
      </c>
      <c r="E9" s="8">
        <f t="array" ref="E9">INDEX($A$16:$A$46, MATCH(MIN(ABS(F16:F46-E8)), ABS(F16:F46-E8),))</f>
        <v>35</v>
      </c>
      <c r="F9" t="s">
        <v>165</v>
      </c>
      <c r="G9" s="8">
        <f t="array" ref="G9">INDEX($A$16:$A$46, MATCH(MIN(ABS(H16:H46-G8)), ABS(H16:H46-G8),))</f>
        <v>15</v>
      </c>
      <c r="H9" s="8">
        <f t="array" ref="H9">INDEX($A$16:$A$46, MATCH(MIN(ABS(I16:I46-H8)), ABS(I16:I46-H8),))</f>
        <v>10</v>
      </c>
      <c r="I9" t="s">
        <v>165</v>
      </c>
      <c r="J9" s="8">
        <f t="array" ref="J9">INDEX($A$16:$A$46, MATCH(MIN(ABS(K16:K46-J8)), ABS(K16:K46-J8),))</f>
        <v>5</v>
      </c>
      <c r="K9" s="8">
        <f t="array" ref="K9">INDEX($A$16:$A$46, MATCH(MIN(ABS(L16:L46-K8)), ABS(L16:L46-K8),))</f>
        <v>3</v>
      </c>
      <c r="L9" t="s">
        <v>165</v>
      </c>
      <c r="M9" s="8">
        <f t="array" ref="M9">INDEX($A$16:$A$46, MATCH(MIN(ABS(N16:N46-M8)), ABS(N16:N46-M8),))</f>
        <v>20</v>
      </c>
      <c r="N9" s="8">
        <f t="array" ref="N9">INDEX($A$16:$A$46, MATCH(MIN(ABS(O16:O46-N8)), ABS(O16:O46-N8),))</f>
        <v>80</v>
      </c>
      <c r="O9" t="s">
        <v>165</v>
      </c>
      <c r="P9" s="8"/>
      <c r="Q9" s="9"/>
    </row>
    <row r="10" spans="1:132" x14ac:dyDescent="0.25">
      <c r="A10" s="8" t="s">
        <v>142</v>
      </c>
      <c r="B10" s="9" t="s">
        <v>178</v>
      </c>
      <c r="D10" s="8" t="s">
        <v>145</v>
      </c>
      <c r="E10" s="9" t="s">
        <v>179</v>
      </c>
      <c r="G10" s="8" t="s">
        <v>148</v>
      </c>
      <c r="H10" s="9" t="s">
        <v>180</v>
      </c>
      <c r="J10" s="8" t="s">
        <v>151</v>
      </c>
      <c r="K10" s="9" t="s">
        <v>176</v>
      </c>
      <c r="M10" s="8" t="s">
        <v>154</v>
      </c>
      <c r="N10" s="9" t="s">
        <v>177</v>
      </c>
      <c r="P10" s="8" t="s">
        <v>155</v>
      </c>
      <c r="Q10" s="9" t="s">
        <v>181</v>
      </c>
    </row>
    <row r="11" spans="1:132" ht="15.75" thickBot="1" x14ac:dyDescent="0.3">
      <c r="A11" s="10">
        <f>A8+B8</f>
        <v>87</v>
      </c>
      <c r="B11" s="11">
        <f t="array" ref="B11">INDEX($A$16:$A$46, MATCH(MIN(ABS(D16:D46-A11)), ABS(D16:D46-A11),))</f>
        <v>70</v>
      </c>
      <c r="D11" s="10">
        <f>D8+E8</f>
        <v>77</v>
      </c>
      <c r="E11" s="11">
        <f t="array" ref="E11">INDEX($A$16:$A$46, MATCH(MIN(ABS(G16:G46-D11)), ABS(G16:G46-D11),))</f>
        <v>10</v>
      </c>
      <c r="G11" s="10">
        <f>G8+H8</f>
        <v>71</v>
      </c>
      <c r="H11" s="11">
        <f t="array" ref="H11">INDEX($A$16:$A$46, MATCH(MIN(ABS(J16:J46-G11)), ABS(J16:J46-G11),))</f>
        <v>10</v>
      </c>
      <c r="J11" s="10">
        <f>J8+K8</f>
        <v>55</v>
      </c>
      <c r="K11" s="11">
        <f t="array" ref="K11">INDEX($A$16:$A$46, MATCH(MIN(ABS(M16:M46-J11)), ABS(M16:M46-J11),))</f>
        <v>4</v>
      </c>
      <c r="M11" s="10">
        <f>M8+N8</f>
        <v>87</v>
      </c>
      <c r="N11" s="11">
        <f t="array" ref="N11">INDEX($A$16:$A$46, MATCH(MIN(ABS(P16:P46-M11)), ABS(P16:P46-M11),))</f>
        <v>45</v>
      </c>
      <c r="P11" s="10">
        <f>P8+Q8</f>
        <v>32</v>
      </c>
      <c r="Q11" s="11">
        <f t="array" ref="Q11">INDEX(Q16:Q43, MATCH(MIN(ABS(R16:R43-P11)), ABS(R16:R43-P11),))</f>
        <v>70</v>
      </c>
    </row>
    <row r="13" spans="1:132" ht="15.75" thickBot="1" x14ac:dyDescent="0.3"/>
    <row r="14" spans="1:132" ht="15.75" thickBot="1" x14ac:dyDescent="0.3">
      <c r="A14" s="12" t="s">
        <v>162</v>
      </c>
    </row>
    <row r="15" spans="1:132" ht="15.75" thickBot="1" x14ac:dyDescent="0.3">
      <c r="A15" t="s">
        <v>163</v>
      </c>
      <c r="B15" t="s">
        <v>164</v>
      </c>
      <c r="C15" t="s">
        <v>167</v>
      </c>
      <c r="D15" s="29" t="s">
        <v>182</v>
      </c>
      <c r="E15" s="8" t="s">
        <v>168</v>
      </c>
      <c r="F15" s="16" t="s">
        <v>169</v>
      </c>
      <c r="G15" s="32" t="s">
        <v>166</v>
      </c>
      <c r="H15" t="s">
        <v>170</v>
      </c>
      <c r="I15" t="s">
        <v>171</v>
      </c>
      <c r="J15" s="29" t="s">
        <v>183</v>
      </c>
      <c r="K15" t="s">
        <v>172</v>
      </c>
      <c r="L15" t="s">
        <v>173</v>
      </c>
      <c r="M15" s="29" t="s">
        <v>184</v>
      </c>
      <c r="N15" t="s">
        <v>174</v>
      </c>
      <c r="O15" t="s">
        <v>175</v>
      </c>
      <c r="P15" s="29" t="s">
        <v>185</v>
      </c>
      <c r="Q15" t="s">
        <v>163</v>
      </c>
      <c r="R15" t="s">
        <v>186</v>
      </c>
      <c r="X15" t="s">
        <v>182</v>
      </c>
      <c r="Y15" t="s">
        <v>166</v>
      </c>
      <c r="Z15" t="s">
        <v>183</v>
      </c>
      <c r="AA15" t="s">
        <v>184</v>
      </c>
      <c r="AB15" t="s">
        <v>185</v>
      </c>
      <c r="AE15" t="s">
        <v>186</v>
      </c>
      <c r="AI15" t="s">
        <v>164</v>
      </c>
      <c r="AJ15" t="s">
        <v>167</v>
      </c>
      <c r="AK15" t="s">
        <v>168</v>
      </c>
      <c r="AL15" t="s">
        <v>169</v>
      </c>
      <c r="AM15" t="s">
        <v>170</v>
      </c>
      <c r="AN15" t="s">
        <v>171</v>
      </c>
      <c r="AO15" t="s">
        <v>172</v>
      </c>
      <c r="AP15" t="s">
        <v>173</v>
      </c>
      <c r="AQ15" t="s">
        <v>174</v>
      </c>
      <c r="AR15" t="s">
        <v>175</v>
      </c>
    </row>
    <row r="16" spans="1:132" ht="15.75" thickBot="1" x14ac:dyDescent="0.3">
      <c r="A16" s="14">
        <v>99</v>
      </c>
      <c r="B16" s="13">
        <v>58</v>
      </c>
      <c r="C16" s="17">
        <v>53</v>
      </c>
      <c r="D16" s="27">
        <v>106.5</v>
      </c>
      <c r="E16" s="17">
        <v>57</v>
      </c>
      <c r="F16" s="20">
        <v>53.5</v>
      </c>
      <c r="G16" s="27">
        <v>107</v>
      </c>
      <c r="H16" s="17">
        <v>54</v>
      </c>
      <c r="I16" s="25">
        <v>59.5</v>
      </c>
      <c r="J16" s="27">
        <v>111</v>
      </c>
      <c r="K16" s="17">
        <v>57.5</v>
      </c>
      <c r="L16" s="20">
        <v>54</v>
      </c>
      <c r="M16" s="27">
        <v>110</v>
      </c>
      <c r="N16" s="17">
        <v>57</v>
      </c>
      <c r="O16" s="20">
        <v>56</v>
      </c>
      <c r="P16" s="27">
        <v>111</v>
      </c>
      <c r="Q16" s="14">
        <v>99</v>
      </c>
      <c r="R16" s="17">
        <v>45</v>
      </c>
      <c r="W16" t="s">
        <v>200</v>
      </c>
      <c r="X16">
        <f>B11</f>
        <v>70</v>
      </c>
      <c r="Y16">
        <f>E11</f>
        <v>10</v>
      </c>
      <c r="Z16">
        <f>H11</f>
        <v>10</v>
      </c>
      <c r="AA16">
        <f>K11</f>
        <v>4</v>
      </c>
      <c r="AB16">
        <f>N11</f>
        <v>45</v>
      </c>
      <c r="AD16" t="s">
        <v>201</v>
      </c>
      <c r="AE16">
        <f>Q11</f>
        <v>70</v>
      </c>
      <c r="AH16" t="s">
        <v>203</v>
      </c>
      <c r="AI16">
        <f>A9</f>
        <v>85</v>
      </c>
      <c r="AJ16">
        <f>B9</f>
        <v>45</v>
      </c>
      <c r="AK16">
        <f>D9</f>
        <v>4</v>
      </c>
      <c r="AL16">
        <f>E9</f>
        <v>35</v>
      </c>
      <c r="AM16">
        <f>G9</f>
        <v>15</v>
      </c>
      <c r="AN16">
        <f>H9</f>
        <v>10</v>
      </c>
      <c r="AO16">
        <f>J9</f>
        <v>5</v>
      </c>
      <c r="AP16">
        <f>K9</f>
        <v>3</v>
      </c>
      <c r="AQ16">
        <f>M9</f>
        <v>20</v>
      </c>
      <c r="AR16">
        <f>N9</f>
        <v>80</v>
      </c>
      <c r="BH16" t="s">
        <v>202</v>
      </c>
    </row>
    <row r="17" spans="1:71" ht="15.75" thickBot="1" x14ac:dyDescent="0.3">
      <c r="A17" s="15">
        <v>98</v>
      </c>
      <c r="B17" s="13">
        <v>55</v>
      </c>
      <c r="C17" s="18">
        <v>50.5</v>
      </c>
      <c r="D17" s="28">
        <v>103</v>
      </c>
      <c r="E17" s="18">
        <v>999</v>
      </c>
      <c r="F17" s="21">
        <v>52</v>
      </c>
      <c r="G17" s="28">
        <v>105.5</v>
      </c>
      <c r="H17" s="18">
        <v>53</v>
      </c>
      <c r="I17" s="26">
        <v>58</v>
      </c>
      <c r="J17" s="28">
        <v>108</v>
      </c>
      <c r="K17" s="18">
        <v>56</v>
      </c>
      <c r="L17" s="21">
        <v>52.5</v>
      </c>
      <c r="M17" s="28">
        <v>107</v>
      </c>
      <c r="N17" s="18">
        <v>56</v>
      </c>
      <c r="O17" s="21">
        <v>55</v>
      </c>
      <c r="P17" s="28">
        <v>109.5</v>
      </c>
      <c r="Q17" s="15">
        <v>98</v>
      </c>
      <c r="R17" s="18">
        <v>44</v>
      </c>
      <c r="W17">
        <v>70</v>
      </c>
      <c r="X17">
        <v>70</v>
      </c>
      <c r="Y17">
        <v>70</v>
      </c>
      <c r="Z17">
        <v>70</v>
      </c>
      <c r="AA17">
        <v>70</v>
      </c>
      <c r="AB17">
        <v>70</v>
      </c>
      <c r="AD17">
        <v>70</v>
      </c>
      <c r="AE17">
        <v>70</v>
      </c>
      <c r="AH17">
        <v>70</v>
      </c>
      <c r="AI17">
        <v>70</v>
      </c>
      <c r="AJ17">
        <v>70</v>
      </c>
      <c r="AK17">
        <v>70</v>
      </c>
      <c r="AL17">
        <v>70</v>
      </c>
      <c r="AM17">
        <v>70</v>
      </c>
      <c r="AN17">
        <v>70</v>
      </c>
      <c r="AO17">
        <v>70</v>
      </c>
      <c r="AP17">
        <v>70</v>
      </c>
      <c r="AQ17">
        <v>70</v>
      </c>
      <c r="AR17">
        <v>70</v>
      </c>
    </row>
    <row r="18" spans="1:71" ht="15.75" thickBot="1" x14ac:dyDescent="0.3">
      <c r="A18" s="15">
        <v>97</v>
      </c>
      <c r="B18" s="13">
        <v>54</v>
      </c>
      <c r="C18" s="18">
        <v>49</v>
      </c>
      <c r="D18" s="28">
        <v>100</v>
      </c>
      <c r="E18" s="18">
        <v>55</v>
      </c>
      <c r="F18" s="21">
        <v>51</v>
      </c>
      <c r="G18" s="28">
        <v>103.5</v>
      </c>
      <c r="H18" s="18">
        <v>52</v>
      </c>
      <c r="I18" s="26">
        <v>57</v>
      </c>
      <c r="J18" s="28">
        <v>106</v>
      </c>
      <c r="K18" s="18">
        <v>55</v>
      </c>
      <c r="L18" s="21">
        <v>51</v>
      </c>
      <c r="M18" s="28">
        <v>105</v>
      </c>
      <c r="N18" s="18">
        <v>55</v>
      </c>
      <c r="O18" s="21">
        <v>54</v>
      </c>
      <c r="P18" s="28">
        <v>108</v>
      </c>
      <c r="Q18" s="15">
        <v>97</v>
      </c>
      <c r="R18" s="18">
        <v>43</v>
      </c>
      <c r="W18">
        <v>30</v>
      </c>
      <c r="X18">
        <v>30</v>
      </c>
      <c r="Y18">
        <v>30</v>
      </c>
      <c r="Z18">
        <v>30</v>
      </c>
      <c r="AA18">
        <v>30</v>
      </c>
      <c r="AB18">
        <v>30</v>
      </c>
      <c r="AD18">
        <v>30</v>
      </c>
      <c r="AE18">
        <v>30</v>
      </c>
      <c r="AH18">
        <v>30</v>
      </c>
      <c r="AI18">
        <v>30</v>
      </c>
      <c r="AJ18">
        <v>30</v>
      </c>
      <c r="AK18">
        <v>30</v>
      </c>
      <c r="AL18">
        <v>30</v>
      </c>
      <c r="AM18">
        <v>30</v>
      </c>
      <c r="AN18">
        <v>30</v>
      </c>
      <c r="AO18">
        <v>30</v>
      </c>
      <c r="AP18">
        <v>30</v>
      </c>
      <c r="AQ18">
        <v>30</v>
      </c>
      <c r="AR18">
        <v>30</v>
      </c>
    </row>
    <row r="19" spans="1:71" ht="15.75" thickBot="1" x14ac:dyDescent="0.3">
      <c r="A19" s="15">
        <v>96</v>
      </c>
      <c r="B19" s="13">
        <v>53</v>
      </c>
      <c r="C19" s="18">
        <v>48</v>
      </c>
      <c r="D19" s="28">
        <v>99</v>
      </c>
      <c r="E19" s="18">
        <v>999</v>
      </c>
      <c r="F19" s="21">
        <v>999</v>
      </c>
      <c r="G19" s="28">
        <v>102</v>
      </c>
      <c r="H19" s="18">
        <v>51</v>
      </c>
      <c r="I19" s="26">
        <v>999</v>
      </c>
      <c r="J19" s="28">
        <v>105</v>
      </c>
      <c r="K19" s="18">
        <v>999</v>
      </c>
      <c r="L19" s="21">
        <v>50</v>
      </c>
      <c r="M19" s="28">
        <v>103.5</v>
      </c>
      <c r="N19" s="18">
        <v>999</v>
      </c>
      <c r="O19" s="21">
        <v>999</v>
      </c>
      <c r="P19" s="28">
        <v>106.5</v>
      </c>
      <c r="Q19" s="15">
        <v>96</v>
      </c>
      <c r="R19" s="18">
        <v>42</v>
      </c>
      <c r="W19">
        <v>7</v>
      </c>
      <c r="X19">
        <v>7</v>
      </c>
      <c r="Y19">
        <v>7</v>
      </c>
      <c r="Z19">
        <v>7</v>
      </c>
      <c r="AA19">
        <v>7</v>
      </c>
      <c r="AB19">
        <v>7</v>
      </c>
      <c r="AD19">
        <v>7</v>
      </c>
      <c r="AE19">
        <v>7</v>
      </c>
      <c r="AH19">
        <v>7</v>
      </c>
      <c r="AI19">
        <v>7</v>
      </c>
      <c r="AJ19">
        <v>7</v>
      </c>
      <c r="AK19">
        <v>7</v>
      </c>
      <c r="AL19">
        <v>7</v>
      </c>
      <c r="AM19">
        <v>7</v>
      </c>
      <c r="AN19">
        <v>7</v>
      </c>
      <c r="AO19">
        <v>7</v>
      </c>
      <c r="AP19">
        <v>7</v>
      </c>
      <c r="AQ19">
        <v>7</v>
      </c>
      <c r="AR19">
        <v>7</v>
      </c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</row>
    <row r="20" spans="1:71" ht="14.25" customHeight="1" thickBot="1" x14ac:dyDescent="0.3">
      <c r="A20" s="15">
        <v>95</v>
      </c>
      <c r="B20" s="13">
        <v>52</v>
      </c>
      <c r="C20" s="18">
        <v>47</v>
      </c>
      <c r="D20" s="28">
        <v>97</v>
      </c>
      <c r="E20" s="18">
        <v>54</v>
      </c>
      <c r="F20" s="21">
        <v>50</v>
      </c>
      <c r="G20" s="28">
        <v>101</v>
      </c>
      <c r="H20" s="18">
        <v>50</v>
      </c>
      <c r="I20" s="26">
        <v>55.5</v>
      </c>
      <c r="J20" s="28">
        <v>103</v>
      </c>
      <c r="K20" s="18">
        <v>53.5</v>
      </c>
      <c r="L20" s="21">
        <v>49</v>
      </c>
      <c r="M20" s="28">
        <v>101</v>
      </c>
      <c r="N20" s="18">
        <v>53.5</v>
      </c>
      <c r="O20" s="21">
        <v>53</v>
      </c>
      <c r="P20" s="28">
        <v>104.5</v>
      </c>
      <c r="Q20" s="15">
        <v>95</v>
      </c>
      <c r="R20" s="18">
        <v>40.5</v>
      </c>
      <c r="W20">
        <v>93</v>
      </c>
      <c r="X20">
        <v>93</v>
      </c>
      <c r="Y20">
        <v>93</v>
      </c>
      <c r="Z20">
        <v>93</v>
      </c>
      <c r="AA20">
        <v>93</v>
      </c>
      <c r="AB20">
        <v>93</v>
      </c>
      <c r="AD20">
        <v>93</v>
      </c>
      <c r="AE20">
        <v>93</v>
      </c>
      <c r="AH20">
        <v>93</v>
      </c>
      <c r="AI20">
        <v>93</v>
      </c>
      <c r="AJ20">
        <v>93</v>
      </c>
      <c r="AK20">
        <v>93</v>
      </c>
      <c r="AL20">
        <v>93</v>
      </c>
      <c r="AM20">
        <v>93</v>
      </c>
      <c r="AN20">
        <v>93</v>
      </c>
      <c r="AO20">
        <v>93</v>
      </c>
      <c r="AP20">
        <v>93</v>
      </c>
      <c r="AQ20">
        <v>93</v>
      </c>
      <c r="AR20">
        <v>93</v>
      </c>
      <c r="BE20" s="61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23"/>
    </row>
    <row r="21" spans="1:71" ht="15.75" thickBot="1" x14ac:dyDescent="0.3">
      <c r="A21" s="15">
        <v>90</v>
      </c>
      <c r="B21" s="13">
        <v>51</v>
      </c>
      <c r="C21" s="18">
        <v>46</v>
      </c>
      <c r="D21" s="30">
        <v>94.5</v>
      </c>
      <c r="E21" s="18">
        <v>52.5</v>
      </c>
      <c r="F21" s="21">
        <v>48.5</v>
      </c>
      <c r="G21" s="28">
        <v>99.5</v>
      </c>
      <c r="H21" s="18">
        <v>48.5</v>
      </c>
      <c r="I21" s="26">
        <v>53.5</v>
      </c>
      <c r="J21" s="28">
        <v>100</v>
      </c>
      <c r="K21" s="18">
        <v>51.5</v>
      </c>
      <c r="L21" s="21">
        <v>47.5</v>
      </c>
      <c r="M21" s="28">
        <v>97.5</v>
      </c>
      <c r="N21" s="18">
        <v>52</v>
      </c>
      <c r="O21" s="21">
        <v>51.5</v>
      </c>
      <c r="P21" s="28">
        <v>102</v>
      </c>
      <c r="Q21" s="15">
        <v>90</v>
      </c>
      <c r="R21" s="18">
        <v>38</v>
      </c>
      <c r="W21">
        <v>100</v>
      </c>
      <c r="X21">
        <v>100</v>
      </c>
      <c r="Y21">
        <v>100</v>
      </c>
      <c r="Z21">
        <v>100</v>
      </c>
      <c r="AA21">
        <v>100</v>
      </c>
      <c r="AB21">
        <v>100</v>
      </c>
      <c r="BE21" s="23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23"/>
    </row>
    <row r="22" spans="1:71" ht="15.75" thickBot="1" x14ac:dyDescent="0.3">
      <c r="A22" s="15">
        <v>85</v>
      </c>
      <c r="B22" s="13">
        <v>48</v>
      </c>
      <c r="C22" s="18">
        <v>45</v>
      </c>
      <c r="D22" s="28">
        <v>92.5</v>
      </c>
      <c r="E22" s="18">
        <v>999</v>
      </c>
      <c r="F22" s="21">
        <v>47</v>
      </c>
      <c r="G22" s="28">
        <v>97.5</v>
      </c>
      <c r="H22" s="18">
        <v>47</v>
      </c>
      <c r="I22" s="26">
        <v>52</v>
      </c>
      <c r="J22" s="28">
        <v>97</v>
      </c>
      <c r="K22" s="18">
        <v>49.5</v>
      </c>
      <c r="L22" s="21">
        <v>46</v>
      </c>
      <c r="M22" s="28">
        <v>94</v>
      </c>
      <c r="N22" s="18">
        <v>51</v>
      </c>
      <c r="O22" s="21">
        <v>50</v>
      </c>
      <c r="P22" s="28">
        <v>99.5</v>
      </c>
      <c r="Q22" s="15">
        <v>85</v>
      </c>
      <c r="R22" s="18">
        <v>36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BE22" s="23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23"/>
    </row>
    <row r="23" spans="1:71" ht="15.75" customHeight="1" thickBot="1" x14ac:dyDescent="0.3">
      <c r="A23" s="15">
        <v>80</v>
      </c>
      <c r="B23" s="13">
        <v>47</v>
      </c>
      <c r="C23" s="18">
        <v>44</v>
      </c>
      <c r="D23" s="28">
        <v>90.5</v>
      </c>
      <c r="E23" s="18">
        <v>51</v>
      </c>
      <c r="F23" s="21">
        <v>46</v>
      </c>
      <c r="G23" s="28">
        <v>95.5</v>
      </c>
      <c r="H23" s="18">
        <v>46</v>
      </c>
      <c r="I23" s="26">
        <v>51</v>
      </c>
      <c r="J23" s="28">
        <v>94.5</v>
      </c>
      <c r="K23" s="18">
        <v>48</v>
      </c>
      <c r="L23" s="21">
        <v>45</v>
      </c>
      <c r="M23" s="28">
        <v>91.5</v>
      </c>
      <c r="N23" s="18">
        <v>50</v>
      </c>
      <c r="O23" s="21">
        <v>49</v>
      </c>
      <c r="P23" s="28">
        <v>97.5</v>
      </c>
      <c r="Q23" s="15">
        <v>80</v>
      </c>
      <c r="R23" s="18">
        <v>34.5</v>
      </c>
      <c r="W23">
        <v>50</v>
      </c>
      <c r="X23">
        <v>50</v>
      </c>
      <c r="Y23">
        <v>50</v>
      </c>
      <c r="Z23">
        <v>50</v>
      </c>
      <c r="AA23">
        <v>50</v>
      </c>
      <c r="AB23">
        <v>50</v>
      </c>
      <c r="BE23" s="23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23"/>
    </row>
    <row r="24" spans="1:71" ht="4.5" hidden="1" customHeight="1" thickBot="1" x14ac:dyDescent="0.3">
      <c r="A24" s="15">
        <v>75</v>
      </c>
      <c r="B24" s="13">
        <v>999</v>
      </c>
      <c r="C24" s="18">
        <v>43</v>
      </c>
      <c r="D24" s="28">
        <v>88.5</v>
      </c>
      <c r="E24" s="18">
        <v>50</v>
      </c>
      <c r="F24" s="21">
        <v>45</v>
      </c>
      <c r="G24" s="28">
        <v>94</v>
      </c>
      <c r="H24" s="18">
        <v>45</v>
      </c>
      <c r="I24" s="26">
        <v>50</v>
      </c>
      <c r="J24" s="28">
        <v>93</v>
      </c>
      <c r="K24" s="18">
        <v>47</v>
      </c>
      <c r="L24" s="21">
        <v>44</v>
      </c>
      <c r="M24" s="28">
        <v>90</v>
      </c>
      <c r="N24" s="18">
        <v>49</v>
      </c>
      <c r="O24" s="21">
        <v>48</v>
      </c>
      <c r="P24" s="28">
        <v>95.5</v>
      </c>
      <c r="Q24" s="15">
        <v>75</v>
      </c>
      <c r="R24" s="18">
        <v>33</v>
      </c>
      <c r="BE24" s="23"/>
      <c r="BF24" s="4"/>
      <c r="BG24" s="4"/>
      <c r="BH24" s="4"/>
      <c r="BI24" s="4"/>
      <c r="BJ24" s="4"/>
      <c r="BK24" s="4"/>
      <c r="BL24" s="4"/>
      <c r="BM24" s="4"/>
      <c r="BN24" s="4"/>
      <c r="BO24" s="23"/>
      <c r="BS24" s="23"/>
    </row>
    <row r="25" spans="1:71" ht="15.75" thickBot="1" x14ac:dyDescent="0.3">
      <c r="A25" s="15">
        <v>70</v>
      </c>
      <c r="B25" s="13">
        <v>46</v>
      </c>
      <c r="C25" s="18">
        <v>42</v>
      </c>
      <c r="D25" s="28">
        <v>87</v>
      </c>
      <c r="E25" s="18">
        <v>49</v>
      </c>
      <c r="F25" s="21">
        <v>999</v>
      </c>
      <c r="G25" s="28">
        <v>93</v>
      </c>
      <c r="H25" s="18">
        <v>44</v>
      </c>
      <c r="I25" s="26">
        <v>49</v>
      </c>
      <c r="J25" s="28">
        <v>92</v>
      </c>
      <c r="K25" s="18">
        <v>46</v>
      </c>
      <c r="L25" s="21">
        <v>43</v>
      </c>
      <c r="M25" s="28">
        <v>88.5</v>
      </c>
      <c r="N25" s="18">
        <v>48</v>
      </c>
      <c r="O25" s="21">
        <v>47</v>
      </c>
      <c r="P25" s="28">
        <v>94</v>
      </c>
      <c r="Q25" s="15">
        <v>70</v>
      </c>
      <c r="R25" s="18">
        <v>32</v>
      </c>
      <c r="BE25" s="23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23"/>
    </row>
    <row r="26" spans="1:71" ht="15.75" thickBot="1" x14ac:dyDescent="0.3">
      <c r="A26" s="15">
        <v>65</v>
      </c>
      <c r="B26" s="13">
        <v>45</v>
      </c>
      <c r="C26" s="18">
        <v>999</v>
      </c>
      <c r="D26" s="28">
        <v>85.5</v>
      </c>
      <c r="E26" s="18">
        <v>48</v>
      </c>
      <c r="F26" s="21">
        <v>44</v>
      </c>
      <c r="G26" s="28">
        <v>92</v>
      </c>
      <c r="H26" s="18">
        <v>43</v>
      </c>
      <c r="I26" s="26">
        <v>48</v>
      </c>
      <c r="J26" s="28">
        <v>90.5</v>
      </c>
      <c r="K26" s="18">
        <v>45</v>
      </c>
      <c r="L26" s="21">
        <v>999</v>
      </c>
      <c r="M26" s="28">
        <v>86.5</v>
      </c>
      <c r="N26" s="18">
        <v>47</v>
      </c>
      <c r="O26" s="21">
        <v>46</v>
      </c>
      <c r="P26" s="28">
        <v>93</v>
      </c>
      <c r="Q26" s="15">
        <v>65</v>
      </c>
      <c r="R26" s="18">
        <v>31</v>
      </c>
      <c r="BE26" s="23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8"/>
      <c r="BS26" s="23"/>
    </row>
    <row r="27" spans="1:71" ht="9.75" customHeight="1" thickBot="1" x14ac:dyDescent="0.3">
      <c r="A27" s="15">
        <v>60</v>
      </c>
      <c r="B27" s="13">
        <v>44</v>
      </c>
      <c r="C27" s="18">
        <v>41</v>
      </c>
      <c r="D27" s="28">
        <v>84</v>
      </c>
      <c r="E27" s="18">
        <v>999</v>
      </c>
      <c r="F27" s="21">
        <v>43</v>
      </c>
      <c r="G27" s="28">
        <v>90.5</v>
      </c>
      <c r="H27" s="18">
        <v>41.5</v>
      </c>
      <c r="I27" s="26">
        <v>999</v>
      </c>
      <c r="J27" s="28">
        <v>89</v>
      </c>
      <c r="K27" s="18">
        <v>44</v>
      </c>
      <c r="L27" s="21">
        <v>42</v>
      </c>
      <c r="M27" s="28">
        <v>85</v>
      </c>
      <c r="N27" s="18">
        <v>46</v>
      </c>
      <c r="O27" s="21">
        <v>45</v>
      </c>
      <c r="P27" s="28">
        <v>91.5</v>
      </c>
      <c r="Q27" s="15">
        <v>60</v>
      </c>
      <c r="R27" s="18">
        <v>30</v>
      </c>
      <c r="BE27" s="23"/>
      <c r="BF27" s="58"/>
      <c r="BG27" s="58"/>
      <c r="BH27" s="58"/>
      <c r="BI27" s="58"/>
      <c r="BJ27" s="58"/>
      <c r="BK27" s="58"/>
      <c r="BL27" s="58"/>
      <c r="BM27" s="58"/>
      <c r="BN27" s="58"/>
      <c r="BO27" s="58"/>
      <c r="BP27" s="58"/>
      <c r="BQ27" s="58"/>
      <c r="BR27" s="58"/>
      <c r="BS27" s="23"/>
    </row>
    <row r="28" spans="1:71" ht="3" customHeight="1" thickBot="1" x14ac:dyDescent="0.3">
      <c r="A28" s="15">
        <v>55</v>
      </c>
      <c r="B28" s="13">
        <v>43</v>
      </c>
      <c r="C28" s="18">
        <v>40</v>
      </c>
      <c r="D28" s="28">
        <v>83</v>
      </c>
      <c r="E28" s="18">
        <v>47</v>
      </c>
      <c r="F28" s="21">
        <v>999</v>
      </c>
      <c r="G28" s="28">
        <v>89</v>
      </c>
      <c r="H28" s="18">
        <v>40</v>
      </c>
      <c r="I28" s="26">
        <v>47</v>
      </c>
      <c r="J28" s="28">
        <v>87.5</v>
      </c>
      <c r="K28" s="18">
        <v>43</v>
      </c>
      <c r="L28" s="21">
        <v>41</v>
      </c>
      <c r="M28" s="28">
        <v>84</v>
      </c>
      <c r="N28" s="18">
        <v>45</v>
      </c>
      <c r="O28" s="21">
        <v>999</v>
      </c>
      <c r="P28" s="28">
        <v>90</v>
      </c>
      <c r="Q28" s="15">
        <v>55</v>
      </c>
      <c r="R28" s="18">
        <v>29</v>
      </c>
      <c r="BE28" s="62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23"/>
    </row>
    <row r="29" spans="1:71" ht="15.75" thickBot="1" x14ac:dyDescent="0.3">
      <c r="A29" s="15">
        <v>50</v>
      </c>
      <c r="B29" s="13">
        <v>999</v>
      </c>
      <c r="C29" s="18">
        <v>999</v>
      </c>
      <c r="D29" s="28">
        <v>82</v>
      </c>
      <c r="E29" s="18">
        <v>46</v>
      </c>
      <c r="F29" s="21">
        <v>42</v>
      </c>
      <c r="G29" s="28">
        <v>88</v>
      </c>
      <c r="H29" s="18">
        <v>999</v>
      </c>
      <c r="I29" s="26">
        <v>999</v>
      </c>
      <c r="J29" s="28">
        <v>86</v>
      </c>
      <c r="K29" s="18">
        <v>999</v>
      </c>
      <c r="L29" s="21">
        <v>40</v>
      </c>
      <c r="M29" s="28">
        <v>83</v>
      </c>
      <c r="N29" s="18">
        <v>999</v>
      </c>
      <c r="O29" s="21">
        <v>44</v>
      </c>
      <c r="P29" s="28">
        <v>88.5</v>
      </c>
      <c r="Q29" s="15">
        <v>50</v>
      </c>
      <c r="R29" s="18">
        <v>27.5</v>
      </c>
      <c r="BE29" s="62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58"/>
      <c r="BQ29" s="58"/>
      <c r="BR29" s="58"/>
      <c r="BS29" s="23"/>
    </row>
    <row r="30" spans="1:71" ht="25.5" customHeight="1" thickBot="1" x14ac:dyDescent="0.3">
      <c r="A30" s="15">
        <v>45</v>
      </c>
      <c r="B30" s="13">
        <v>42</v>
      </c>
      <c r="C30" s="18">
        <v>39</v>
      </c>
      <c r="D30" s="28">
        <v>81</v>
      </c>
      <c r="E30" s="18">
        <v>999</v>
      </c>
      <c r="F30" s="21">
        <v>41</v>
      </c>
      <c r="G30" s="28">
        <v>87</v>
      </c>
      <c r="H30" s="18">
        <v>39</v>
      </c>
      <c r="I30" s="26">
        <v>46</v>
      </c>
      <c r="J30" s="28">
        <v>84.5</v>
      </c>
      <c r="K30" s="18">
        <v>42</v>
      </c>
      <c r="L30" s="21">
        <v>39</v>
      </c>
      <c r="M30" s="28">
        <v>81.5</v>
      </c>
      <c r="N30" s="18">
        <v>44</v>
      </c>
      <c r="O30" s="21">
        <v>43</v>
      </c>
      <c r="P30" s="28">
        <v>86.5</v>
      </c>
      <c r="Q30" s="15">
        <v>45</v>
      </c>
      <c r="R30" s="18">
        <v>26</v>
      </c>
      <c r="BE30" s="23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23"/>
    </row>
    <row r="31" spans="1:71" ht="15.75" thickBot="1" x14ac:dyDescent="0.3">
      <c r="A31" s="15">
        <v>40</v>
      </c>
      <c r="B31" s="13">
        <v>41</v>
      </c>
      <c r="C31" s="18">
        <v>38</v>
      </c>
      <c r="D31" s="28">
        <v>79.5</v>
      </c>
      <c r="E31" s="18">
        <v>45</v>
      </c>
      <c r="F31" s="21">
        <v>999</v>
      </c>
      <c r="G31" s="28">
        <v>86</v>
      </c>
      <c r="H31" s="18">
        <v>38</v>
      </c>
      <c r="I31" s="26">
        <v>45</v>
      </c>
      <c r="J31" s="28">
        <v>83</v>
      </c>
      <c r="K31" s="18">
        <v>41</v>
      </c>
      <c r="L31" s="21">
        <v>38</v>
      </c>
      <c r="M31" s="28">
        <v>79.5</v>
      </c>
      <c r="N31" s="18">
        <v>43</v>
      </c>
      <c r="O31" s="21">
        <v>42</v>
      </c>
      <c r="P31" s="28">
        <v>84.5</v>
      </c>
      <c r="Q31" s="15">
        <v>40</v>
      </c>
      <c r="R31" s="18">
        <v>999</v>
      </c>
      <c r="BE31" s="23"/>
      <c r="BF31" s="59"/>
      <c r="BG31" s="59"/>
      <c r="BH31" s="59"/>
      <c r="BI31" s="59"/>
      <c r="BJ31" s="59"/>
      <c r="BK31" s="59"/>
      <c r="BL31" s="59"/>
      <c r="BM31" s="59"/>
      <c r="BN31" s="59"/>
      <c r="BO31" s="59"/>
      <c r="BP31" s="59"/>
      <c r="BQ31" s="59"/>
      <c r="BR31" s="59"/>
      <c r="BS31" s="23"/>
    </row>
    <row r="32" spans="1:71" ht="15.75" thickBot="1" x14ac:dyDescent="0.3">
      <c r="A32" s="15">
        <v>35</v>
      </c>
      <c r="B32" s="13">
        <v>40</v>
      </c>
      <c r="C32" s="18">
        <v>999</v>
      </c>
      <c r="D32" s="28">
        <v>78</v>
      </c>
      <c r="E32" s="18">
        <v>999</v>
      </c>
      <c r="F32" s="21">
        <v>40</v>
      </c>
      <c r="G32" s="28">
        <v>85</v>
      </c>
      <c r="H32" s="18">
        <v>37</v>
      </c>
      <c r="I32" s="26">
        <v>999</v>
      </c>
      <c r="J32" s="28">
        <v>82</v>
      </c>
      <c r="K32" s="18">
        <v>40</v>
      </c>
      <c r="L32" s="21">
        <v>999</v>
      </c>
      <c r="M32" s="28">
        <v>78</v>
      </c>
      <c r="N32" s="18">
        <v>42</v>
      </c>
      <c r="O32" s="21">
        <v>41</v>
      </c>
      <c r="P32" s="28">
        <v>83</v>
      </c>
      <c r="Q32" s="15">
        <v>35</v>
      </c>
      <c r="R32" s="18">
        <v>24.5</v>
      </c>
      <c r="BE32" s="23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23"/>
    </row>
    <row r="33" spans="1:71" ht="15.75" thickBot="1" x14ac:dyDescent="0.3">
      <c r="A33" s="15">
        <v>30</v>
      </c>
      <c r="B33" s="13">
        <v>39</v>
      </c>
      <c r="C33" s="18">
        <v>37</v>
      </c>
      <c r="D33" s="31">
        <v>76.5</v>
      </c>
      <c r="E33" s="18">
        <v>44</v>
      </c>
      <c r="F33" s="21">
        <v>39</v>
      </c>
      <c r="G33" s="28">
        <v>84</v>
      </c>
      <c r="H33" s="18">
        <v>36</v>
      </c>
      <c r="I33" s="26">
        <v>44</v>
      </c>
      <c r="J33" s="28">
        <v>80.5</v>
      </c>
      <c r="K33" s="18">
        <v>39</v>
      </c>
      <c r="L33" s="21">
        <v>37</v>
      </c>
      <c r="M33" s="28">
        <v>76.5</v>
      </c>
      <c r="N33" s="18">
        <v>41</v>
      </c>
      <c r="O33" s="21">
        <v>40</v>
      </c>
      <c r="P33" s="28">
        <v>81.5</v>
      </c>
      <c r="Q33" s="15">
        <v>30</v>
      </c>
      <c r="R33" s="18">
        <v>23</v>
      </c>
      <c r="BE33" s="23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23"/>
    </row>
    <row r="34" spans="1:71" ht="15.75" thickBot="1" x14ac:dyDescent="0.3">
      <c r="A34" s="15">
        <v>25</v>
      </c>
      <c r="B34" s="13">
        <v>999</v>
      </c>
      <c r="C34" s="18">
        <v>36</v>
      </c>
      <c r="D34" s="28">
        <v>75</v>
      </c>
      <c r="E34" s="18">
        <v>43</v>
      </c>
      <c r="F34" s="21">
        <v>999</v>
      </c>
      <c r="G34" s="28">
        <v>82.5</v>
      </c>
      <c r="H34" s="18">
        <v>35</v>
      </c>
      <c r="I34" s="26">
        <v>43</v>
      </c>
      <c r="J34" s="28">
        <v>78.5</v>
      </c>
      <c r="K34" s="18">
        <v>38</v>
      </c>
      <c r="L34" s="21">
        <v>35.5</v>
      </c>
      <c r="M34" s="28">
        <v>74.5</v>
      </c>
      <c r="N34" s="18">
        <v>40</v>
      </c>
      <c r="O34" s="21">
        <v>39</v>
      </c>
      <c r="P34" s="28">
        <v>79.5</v>
      </c>
      <c r="Q34" s="15">
        <v>25</v>
      </c>
      <c r="R34" s="18">
        <v>22</v>
      </c>
      <c r="BE34" s="23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3"/>
    </row>
    <row r="35" spans="1:71" ht="15.75" thickBot="1" x14ac:dyDescent="0.3">
      <c r="A35" s="15">
        <v>20</v>
      </c>
      <c r="B35" s="13">
        <v>38</v>
      </c>
      <c r="C35" s="18">
        <v>34.5</v>
      </c>
      <c r="D35" s="28">
        <v>73.5</v>
      </c>
      <c r="E35" s="18">
        <v>999</v>
      </c>
      <c r="F35" s="21">
        <v>38</v>
      </c>
      <c r="G35" s="28">
        <v>81</v>
      </c>
      <c r="H35" s="18">
        <v>34</v>
      </c>
      <c r="I35" s="26">
        <v>42</v>
      </c>
      <c r="J35" s="28">
        <v>77</v>
      </c>
      <c r="K35" s="18">
        <v>37</v>
      </c>
      <c r="L35" s="21">
        <v>34</v>
      </c>
      <c r="M35" s="28">
        <v>72.5</v>
      </c>
      <c r="N35" s="18">
        <v>38.5</v>
      </c>
      <c r="O35" s="21">
        <v>38</v>
      </c>
      <c r="P35" s="28">
        <v>77.5</v>
      </c>
      <c r="Q35" s="15">
        <v>20</v>
      </c>
      <c r="R35" s="18">
        <v>21</v>
      </c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</row>
    <row r="36" spans="1:71" ht="15.75" thickBot="1" x14ac:dyDescent="0.3">
      <c r="A36" s="15">
        <v>15</v>
      </c>
      <c r="B36" s="13">
        <v>36.5</v>
      </c>
      <c r="C36" s="18">
        <v>33</v>
      </c>
      <c r="D36" s="28">
        <v>71.5</v>
      </c>
      <c r="E36" s="18">
        <v>41.5</v>
      </c>
      <c r="F36" s="21">
        <v>36.5</v>
      </c>
      <c r="G36" s="28">
        <v>79.5</v>
      </c>
      <c r="H36" s="18">
        <v>32.5</v>
      </c>
      <c r="I36" s="26">
        <v>41</v>
      </c>
      <c r="J36" s="28">
        <v>75</v>
      </c>
      <c r="K36" s="18">
        <v>35.5</v>
      </c>
      <c r="L36" s="21">
        <v>32.5</v>
      </c>
      <c r="M36" s="28">
        <v>69.5</v>
      </c>
      <c r="N36" s="18">
        <v>36.5</v>
      </c>
      <c r="O36" s="21">
        <v>37</v>
      </c>
      <c r="P36" s="28">
        <v>75</v>
      </c>
      <c r="Q36" s="15">
        <v>15</v>
      </c>
      <c r="R36" s="18">
        <v>19.5</v>
      </c>
    </row>
    <row r="37" spans="1:71" ht="15.75" thickBot="1" x14ac:dyDescent="0.3">
      <c r="A37" s="15">
        <v>10</v>
      </c>
      <c r="B37" s="13">
        <v>34.5</v>
      </c>
      <c r="C37" s="18">
        <v>31.5</v>
      </c>
      <c r="D37" s="28">
        <v>69</v>
      </c>
      <c r="E37" s="18">
        <v>40</v>
      </c>
      <c r="F37" s="21">
        <v>35</v>
      </c>
      <c r="G37" s="28">
        <v>77</v>
      </c>
      <c r="H37" s="18">
        <v>30</v>
      </c>
      <c r="I37" s="26">
        <v>39.5</v>
      </c>
      <c r="J37" s="28">
        <v>72</v>
      </c>
      <c r="K37" s="18">
        <v>33</v>
      </c>
      <c r="L37" s="21">
        <v>30</v>
      </c>
      <c r="M37" s="30">
        <v>65</v>
      </c>
      <c r="N37" s="18">
        <v>34.5</v>
      </c>
      <c r="O37" s="21">
        <v>35.5</v>
      </c>
      <c r="P37" s="28">
        <v>72</v>
      </c>
      <c r="Q37" s="15">
        <v>10</v>
      </c>
      <c r="R37" s="18">
        <v>17.5</v>
      </c>
    </row>
    <row r="38" spans="1:71" ht="15.75" thickBot="1" x14ac:dyDescent="0.3">
      <c r="A38" s="15">
        <v>5</v>
      </c>
      <c r="B38" s="13">
        <v>33</v>
      </c>
      <c r="C38" s="18">
        <v>30</v>
      </c>
      <c r="D38" s="28">
        <v>66</v>
      </c>
      <c r="E38" s="18">
        <v>38.5</v>
      </c>
      <c r="F38" s="21">
        <v>34</v>
      </c>
      <c r="G38" s="28">
        <v>74</v>
      </c>
      <c r="H38" s="18">
        <v>27.5</v>
      </c>
      <c r="I38" s="26">
        <v>37.5</v>
      </c>
      <c r="J38" s="28">
        <v>69</v>
      </c>
      <c r="K38" s="18">
        <v>30.5</v>
      </c>
      <c r="L38" s="21">
        <v>28</v>
      </c>
      <c r="M38" s="28">
        <v>60.5</v>
      </c>
      <c r="N38" s="18">
        <v>32.5</v>
      </c>
      <c r="O38" s="21">
        <v>33.5</v>
      </c>
      <c r="P38" s="28">
        <v>68.5</v>
      </c>
      <c r="Q38" s="15">
        <v>10</v>
      </c>
      <c r="R38" s="33">
        <v>16</v>
      </c>
    </row>
    <row r="39" spans="1:71" ht="15.75" thickBot="1" x14ac:dyDescent="0.3">
      <c r="A39" s="15">
        <v>4</v>
      </c>
      <c r="B39" s="13">
        <v>32</v>
      </c>
      <c r="C39" s="18">
        <v>999</v>
      </c>
      <c r="D39" s="28">
        <v>64</v>
      </c>
      <c r="E39" s="18">
        <v>37</v>
      </c>
      <c r="F39" s="21">
        <v>33</v>
      </c>
      <c r="G39" s="28">
        <v>72</v>
      </c>
      <c r="H39" s="18">
        <v>999</v>
      </c>
      <c r="I39" s="26">
        <v>36</v>
      </c>
      <c r="J39" s="28">
        <v>67</v>
      </c>
      <c r="K39" s="18">
        <v>29</v>
      </c>
      <c r="L39" s="21">
        <v>26</v>
      </c>
      <c r="M39" s="28">
        <v>56.5</v>
      </c>
      <c r="N39" s="18">
        <v>999</v>
      </c>
      <c r="O39" s="21">
        <v>32</v>
      </c>
      <c r="P39" s="28">
        <v>65.5</v>
      </c>
      <c r="Q39" s="15">
        <v>5</v>
      </c>
      <c r="R39" s="18">
        <v>15</v>
      </c>
    </row>
    <row r="40" spans="1:71" ht="15.75" thickBot="1" x14ac:dyDescent="0.3">
      <c r="A40" s="15">
        <v>3</v>
      </c>
      <c r="B40" s="13">
        <v>31</v>
      </c>
      <c r="C40" s="18">
        <v>29</v>
      </c>
      <c r="D40" s="28">
        <v>62.5</v>
      </c>
      <c r="E40" s="18">
        <v>36</v>
      </c>
      <c r="F40" s="21">
        <v>32</v>
      </c>
      <c r="G40" s="28">
        <v>70.5</v>
      </c>
      <c r="H40" s="18">
        <v>26</v>
      </c>
      <c r="I40" s="26">
        <v>35</v>
      </c>
      <c r="J40" s="28">
        <v>65.5</v>
      </c>
      <c r="K40" s="18">
        <v>27.5</v>
      </c>
      <c r="L40" s="21">
        <v>24.5</v>
      </c>
      <c r="M40" s="28">
        <v>53</v>
      </c>
      <c r="N40" s="18">
        <v>31</v>
      </c>
      <c r="O40" s="21">
        <v>31</v>
      </c>
      <c r="P40" s="28">
        <v>64</v>
      </c>
      <c r="Q40" s="15">
        <v>4</v>
      </c>
      <c r="R40" s="18">
        <v>14</v>
      </c>
    </row>
    <row r="41" spans="1:71" ht="15.75" thickBot="1" x14ac:dyDescent="0.3">
      <c r="A41" s="15">
        <v>2</v>
      </c>
      <c r="B41" s="13">
        <v>29.5</v>
      </c>
      <c r="C41" s="18">
        <v>999</v>
      </c>
      <c r="D41" s="28">
        <v>60.5</v>
      </c>
      <c r="E41" s="18">
        <v>35</v>
      </c>
      <c r="F41" s="21">
        <v>30.5</v>
      </c>
      <c r="G41" s="28">
        <v>68.5</v>
      </c>
      <c r="H41" s="18">
        <v>24.5</v>
      </c>
      <c r="I41" s="26">
        <v>33.5</v>
      </c>
      <c r="J41" s="28">
        <v>63</v>
      </c>
      <c r="K41" s="18">
        <v>25.5</v>
      </c>
      <c r="L41" s="21">
        <v>22</v>
      </c>
      <c r="M41" s="28">
        <v>50</v>
      </c>
      <c r="N41" s="18">
        <v>29.5</v>
      </c>
      <c r="O41" s="21">
        <v>29.5</v>
      </c>
      <c r="P41" s="28">
        <v>62.5</v>
      </c>
      <c r="Q41" s="15">
        <v>3</v>
      </c>
      <c r="R41" s="18">
        <v>13</v>
      </c>
    </row>
    <row r="42" spans="1:71" ht="15.75" thickBot="1" x14ac:dyDescent="0.3">
      <c r="A42" s="15">
        <v>1</v>
      </c>
      <c r="B42" s="13">
        <v>27</v>
      </c>
      <c r="C42" s="19">
        <v>26</v>
      </c>
      <c r="D42" s="28">
        <v>58</v>
      </c>
      <c r="E42" s="19">
        <v>33.5</v>
      </c>
      <c r="F42" s="22">
        <v>28.5</v>
      </c>
      <c r="G42" s="28">
        <v>67</v>
      </c>
      <c r="H42" s="19">
        <v>23</v>
      </c>
      <c r="I42" s="26">
        <v>32</v>
      </c>
      <c r="J42" s="28">
        <v>60</v>
      </c>
      <c r="K42" s="19">
        <v>23.5</v>
      </c>
      <c r="L42" s="22">
        <v>19.5</v>
      </c>
      <c r="M42" s="28">
        <v>47</v>
      </c>
      <c r="N42" s="19">
        <v>28</v>
      </c>
      <c r="O42" s="22">
        <v>28</v>
      </c>
      <c r="P42" s="28">
        <v>61</v>
      </c>
      <c r="Q42" s="15">
        <v>2</v>
      </c>
      <c r="R42" s="18">
        <v>999</v>
      </c>
    </row>
    <row r="43" spans="1:71" ht="15.75" thickBot="1" x14ac:dyDescent="0.3">
      <c r="Q43" s="15">
        <v>1</v>
      </c>
      <c r="R43" s="18">
        <v>12</v>
      </c>
    </row>
  </sheetData>
  <sheetProtection selectLockedCells="1" selectUnlockedCells="1"/>
  <pageMargins left="0.7" right="0.7" top="0.75" bottom="0.75" header="0.3" footer="0.3"/>
  <pageSetup paperSize="9" orientation="portrait" horizontalDpi="4294967292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L100"/>
  <sheetViews>
    <sheetView workbookViewId="0">
      <pane xSplit="1" topLeftCell="B1" activePane="topRight" state="frozen"/>
      <selection pane="topRight" activeCell="B9" sqref="B9:B16"/>
    </sheetView>
  </sheetViews>
  <sheetFormatPr baseColWidth="10" defaultRowHeight="15" x14ac:dyDescent="0.25"/>
  <cols>
    <col min="2" max="5" width="11.42578125" style="103"/>
    <col min="6" max="6" width="11.42578125" style="104"/>
    <col min="7" max="9" width="11.42578125" style="106"/>
    <col min="10" max="24" width="11.42578125" style="103"/>
    <col min="25" max="25" width="11.42578125" style="104"/>
    <col min="26" max="37" width="11.42578125" style="103"/>
    <col min="38" max="38" width="11.42578125" style="104"/>
  </cols>
  <sheetData>
    <row r="1" spans="1:38" x14ac:dyDescent="0.25">
      <c r="A1" t="s">
        <v>188</v>
      </c>
      <c r="B1" s="103" t="s">
        <v>223</v>
      </c>
      <c r="C1" s="103" t="s">
        <v>224</v>
      </c>
      <c r="D1" s="103" t="s">
        <v>225</v>
      </c>
      <c r="E1" s="103" t="s">
        <v>231</v>
      </c>
      <c r="F1" s="104" t="s">
        <v>239</v>
      </c>
      <c r="G1" s="106" t="s">
        <v>238</v>
      </c>
      <c r="H1" s="106" t="s">
        <v>250</v>
      </c>
      <c r="I1" s="106" t="s">
        <v>251</v>
      </c>
      <c r="J1" s="16" t="s">
        <v>258</v>
      </c>
      <c r="K1" s="16" t="s">
        <v>259</v>
      </c>
      <c r="L1" s="16" t="s">
        <v>270</v>
      </c>
      <c r="M1" s="16" t="s">
        <v>271</v>
      </c>
      <c r="N1" s="16" t="s">
        <v>283</v>
      </c>
    </row>
    <row r="2" spans="1:38" x14ac:dyDescent="0.25">
      <c r="A2" s="90">
        <v>99</v>
      </c>
      <c r="B2" s="103" t="s">
        <v>300</v>
      </c>
      <c r="C2" s="103" t="s">
        <v>216</v>
      </c>
      <c r="D2" s="103" t="s">
        <v>226</v>
      </c>
      <c r="E2" s="103" t="s">
        <v>232</v>
      </c>
      <c r="F2" s="104" t="s">
        <v>298</v>
      </c>
      <c r="G2" s="106" t="s">
        <v>243</v>
      </c>
      <c r="H2" s="106" t="s">
        <v>287</v>
      </c>
      <c r="I2" s="106" t="s">
        <v>252</v>
      </c>
      <c r="J2" s="16" t="s">
        <v>268</v>
      </c>
      <c r="K2" s="16" t="s">
        <v>263</v>
      </c>
      <c r="L2" s="16" t="s">
        <v>273</v>
      </c>
      <c r="M2" s="16" t="s">
        <v>278</v>
      </c>
      <c r="N2" s="16" t="s">
        <v>284</v>
      </c>
    </row>
    <row r="3" spans="1:38" x14ac:dyDescent="0.25">
      <c r="A3" s="90">
        <v>98</v>
      </c>
      <c r="B3" s="103" t="s">
        <v>300</v>
      </c>
      <c r="C3" s="103" t="s">
        <v>216</v>
      </c>
      <c r="D3" s="103" t="s">
        <v>226</v>
      </c>
      <c r="E3" s="103" t="s">
        <v>232</v>
      </c>
      <c r="F3" s="104" t="s">
        <v>298</v>
      </c>
      <c r="G3" s="106" t="s">
        <v>243</v>
      </c>
      <c r="H3" s="106" t="s">
        <v>287</v>
      </c>
      <c r="I3" s="106" t="s">
        <v>252</v>
      </c>
      <c r="J3" s="16" t="s">
        <v>268</v>
      </c>
      <c r="K3" s="16" t="s">
        <v>263</v>
      </c>
      <c r="L3" s="16" t="s">
        <v>273</v>
      </c>
      <c r="M3" s="16" t="s">
        <v>278</v>
      </c>
      <c r="N3" s="16" t="s">
        <v>284</v>
      </c>
    </row>
    <row r="4" spans="1:38" x14ac:dyDescent="0.25">
      <c r="A4" s="90">
        <v>97</v>
      </c>
      <c r="B4" s="103" t="s">
        <v>300</v>
      </c>
      <c r="C4" s="103" t="s">
        <v>216</v>
      </c>
      <c r="D4" s="103" t="s">
        <v>226</v>
      </c>
      <c r="E4" s="103" t="s">
        <v>232</v>
      </c>
      <c r="F4" s="104" t="s">
        <v>298</v>
      </c>
      <c r="G4" s="106" t="s">
        <v>243</v>
      </c>
      <c r="H4" s="106" t="s">
        <v>287</v>
      </c>
      <c r="I4" s="106" t="s">
        <v>252</v>
      </c>
      <c r="J4" s="16" t="s">
        <v>268</v>
      </c>
      <c r="K4" s="16" t="s">
        <v>263</v>
      </c>
      <c r="L4" s="16" t="s">
        <v>273</v>
      </c>
      <c r="M4" s="16" t="s">
        <v>278</v>
      </c>
      <c r="N4" s="16" t="s">
        <v>284</v>
      </c>
    </row>
    <row r="5" spans="1:38" x14ac:dyDescent="0.25">
      <c r="A5" s="90">
        <v>96</v>
      </c>
      <c r="B5" s="103" t="s">
        <v>300</v>
      </c>
      <c r="C5" s="103" t="s">
        <v>216</v>
      </c>
      <c r="D5" s="103" t="s">
        <v>226</v>
      </c>
      <c r="E5" s="103" t="s">
        <v>232</v>
      </c>
      <c r="F5" s="104" t="s">
        <v>298</v>
      </c>
      <c r="G5" s="106" t="s">
        <v>243</v>
      </c>
      <c r="H5" s="106" t="s">
        <v>287</v>
      </c>
      <c r="I5" s="106" t="s">
        <v>252</v>
      </c>
      <c r="J5" s="16" t="s">
        <v>268</v>
      </c>
      <c r="K5" s="16" t="s">
        <v>263</v>
      </c>
      <c r="L5" s="16" t="s">
        <v>273</v>
      </c>
      <c r="M5" s="16" t="s">
        <v>278</v>
      </c>
      <c r="N5" s="16" t="s">
        <v>284</v>
      </c>
    </row>
    <row r="6" spans="1:38" x14ac:dyDescent="0.25">
      <c r="A6" s="90">
        <v>95</v>
      </c>
      <c r="B6" s="103" t="s">
        <v>300</v>
      </c>
      <c r="C6" s="103" t="s">
        <v>216</v>
      </c>
      <c r="D6" s="103" t="s">
        <v>226</v>
      </c>
      <c r="E6" s="103" t="s">
        <v>232</v>
      </c>
      <c r="F6" s="104" t="s">
        <v>298</v>
      </c>
      <c r="G6" s="106" t="s">
        <v>243</v>
      </c>
      <c r="H6" s="106" t="s">
        <v>287</v>
      </c>
      <c r="I6" s="106" t="s">
        <v>252</v>
      </c>
      <c r="J6" s="16" t="s">
        <v>268</v>
      </c>
      <c r="K6" s="16" t="s">
        <v>263</v>
      </c>
      <c r="L6" s="16" t="s">
        <v>273</v>
      </c>
      <c r="M6" s="16" t="s">
        <v>278</v>
      </c>
      <c r="N6" s="16" t="s">
        <v>284</v>
      </c>
    </row>
    <row r="7" spans="1:38" x14ac:dyDescent="0.25">
      <c r="A7" s="90">
        <v>94</v>
      </c>
      <c r="B7" s="103" t="s">
        <v>300</v>
      </c>
      <c r="C7" s="103" t="s">
        <v>216</v>
      </c>
      <c r="D7" s="103" t="s">
        <v>226</v>
      </c>
      <c r="E7" s="103" t="s">
        <v>232</v>
      </c>
      <c r="F7" s="104" t="s">
        <v>298</v>
      </c>
      <c r="G7" s="106" t="s">
        <v>243</v>
      </c>
      <c r="H7" s="106" t="s">
        <v>287</v>
      </c>
      <c r="I7" s="106" t="s">
        <v>252</v>
      </c>
      <c r="J7" s="16" t="s">
        <v>268</v>
      </c>
      <c r="K7" s="16" t="s">
        <v>263</v>
      </c>
      <c r="L7" s="16" t="s">
        <v>273</v>
      </c>
      <c r="M7" s="16" t="s">
        <v>278</v>
      </c>
      <c r="N7" s="16" t="s">
        <v>284</v>
      </c>
    </row>
    <row r="8" spans="1:38" s="96" customFormat="1" x14ac:dyDescent="0.25">
      <c r="A8" s="95">
        <v>93</v>
      </c>
      <c r="B8" s="96" t="s">
        <v>300</v>
      </c>
      <c r="C8" s="96" t="s">
        <v>216</v>
      </c>
      <c r="D8" s="96" t="s">
        <v>226</v>
      </c>
      <c r="E8" s="96" t="s">
        <v>232</v>
      </c>
      <c r="G8" s="106" t="s">
        <v>243</v>
      </c>
      <c r="H8" s="106" t="s">
        <v>287</v>
      </c>
      <c r="I8" s="106" t="s">
        <v>252</v>
      </c>
      <c r="J8" s="16" t="s">
        <v>268</v>
      </c>
      <c r="K8" s="16" t="s">
        <v>263</v>
      </c>
      <c r="L8" s="16" t="s">
        <v>273</v>
      </c>
      <c r="M8" s="16" t="s">
        <v>278</v>
      </c>
      <c r="N8" s="16" t="s">
        <v>284</v>
      </c>
      <c r="Y8" s="105"/>
      <c r="AL8" s="105"/>
    </row>
    <row r="9" spans="1:38" x14ac:dyDescent="0.25">
      <c r="A9" s="91">
        <v>92</v>
      </c>
      <c r="B9" s="103" t="s">
        <v>300</v>
      </c>
      <c r="C9" s="103" t="s">
        <v>217</v>
      </c>
      <c r="D9" s="103" t="s">
        <v>227</v>
      </c>
      <c r="E9" s="103" t="s">
        <v>233</v>
      </c>
      <c r="F9" s="105" t="s">
        <v>299</v>
      </c>
      <c r="G9" s="106" t="s">
        <v>244</v>
      </c>
      <c r="H9" s="106" t="s">
        <v>288</v>
      </c>
      <c r="I9" s="106" t="s">
        <v>253</v>
      </c>
      <c r="J9" s="16" t="s">
        <v>269</v>
      </c>
      <c r="K9" s="16" t="s">
        <v>264</v>
      </c>
      <c r="L9" s="16" t="s">
        <v>274</v>
      </c>
      <c r="M9" s="16" t="s">
        <v>279</v>
      </c>
      <c r="N9" s="16" t="s">
        <v>284</v>
      </c>
    </row>
    <row r="10" spans="1:38" x14ac:dyDescent="0.25">
      <c r="A10" s="91">
        <v>91</v>
      </c>
      <c r="B10" s="103" t="s">
        <v>300</v>
      </c>
      <c r="C10" s="103" t="s">
        <v>217</v>
      </c>
      <c r="D10" s="103" t="s">
        <v>227</v>
      </c>
      <c r="E10" s="103" t="s">
        <v>233</v>
      </c>
      <c r="F10" s="105" t="s">
        <v>299</v>
      </c>
      <c r="G10" s="106" t="s">
        <v>244</v>
      </c>
      <c r="H10" s="106" t="s">
        <v>288</v>
      </c>
      <c r="I10" s="106" t="s">
        <v>253</v>
      </c>
      <c r="J10" s="16" t="s">
        <v>269</v>
      </c>
      <c r="K10" s="16" t="s">
        <v>264</v>
      </c>
      <c r="L10" s="16" t="s">
        <v>274</v>
      </c>
      <c r="M10" s="16" t="s">
        <v>279</v>
      </c>
      <c r="N10" s="16" t="s">
        <v>284</v>
      </c>
    </row>
    <row r="11" spans="1:38" x14ac:dyDescent="0.25">
      <c r="A11" s="91">
        <v>90</v>
      </c>
      <c r="B11" s="103" t="s">
        <v>300</v>
      </c>
      <c r="C11" s="103" t="s">
        <v>217</v>
      </c>
      <c r="D11" s="103" t="s">
        <v>227</v>
      </c>
      <c r="E11" s="103" t="s">
        <v>233</v>
      </c>
      <c r="F11" s="105" t="s">
        <v>299</v>
      </c>
      <c r="G11" s="106" t="s">
        <v>244</v>
      </c>
      <c r="H11" s="106" t="s">
        <v>288</v>
      </c>
      <c r="I11" s="106" t="s">
        <v>253</v>
      </c>
      <c r="J11" s="16" t="s">
        <v>269</v>
      </c>
      <c r="K11" s="16" t="s">
        <v>264</v>
      </c>
      <c r="L11" s="16" t="s">
        <v>274</v>
      </c>
      <c r="M11" s="16" t="s">
        <v>279</v>
      </c>
      <c r="N11" s="16" t="s">
        <v>284</v>
      </c>
    </row>
    <row r="12" spans="1:38" x14ac:dyDescent="0.25">
      <c r="A12" s="91">
        <v>89</v>
      </c>
      <c r="B12" s="103" t="s">
        <v>300</v>
      </c>
      <c r="C12" s="103" t="s">
        <v>217</v>
      </c>
      <c r="D12" s="103" t="s">
        <v>227</v>
      </c>
      <c r="E12" s="103" t="s">
        <v>233</v>
      </c>
      <c r="F12" s="105" t="s">
        <v>299</v>
      </c>
      <c r="G12" s="106" t="s">
        <v>244</v>
      </c>
      <c r="H12" s="106" t="s">
        <v>288</v>
      </c>
      <c r="I12" s="106" t="s">
        <v>253</v>
      </c>
      <c r="J12" s="16" t="s">
        <v>269</v>
      </c>
      <c r="K12" s="16" t="s">
        <v>264</v>
      </c>
      <c r="L12" s="16" t="s">
        <v>274</v>
      </c>
      <c r="M12" s="16" t="s">
        <v>279</v>
      </c>
      <c r="N12" s="16" t="s">
        <v>284</v>
      </c>
    </row>
    <row r="13" spans="1:38" x14ac:dyDescent="0.25">
      <c r="A13" s="91">
        <v>88</v>
      </c>
      <c r="B13" s="103" t="s">
        <v>300</v>
      </c>
      <c r="C13" s="103" t="s">
        <v>217</v>
      </c>
      <c r="D13" s="103" t="s">
        <v>227</v>
      </c>
      <c r="E13" s="103" t="s">
        <v>233</v>
      </c>
      <c r="F13" s="105" t="s">
        <v>299</v>
      </c>
      <c r="G13" s="106" t="s">
        <v>244</v>
      </c>
      <c r="H13" s="106" t="s">
        <v>288</v>
      </c>
      <c r="I13" s="106" t="s">
        <v>253</v>
      </c>
      <c r="J13" s="16" t="s">
        <v>269</v>
      </c>
      <c r="K13" s="16" t="s">
        <v>264</v>
      </c>
      <c r="L13" s="16" t="s">
        <v>274</v>
      </c>
      <c r="M13" s="16" t="s">
        <v>279</v>
      </c>
      <c r="N13" s="16" t="s">
        <v>284</v>
      </c>
    </row>
    <row r="14" spans="1:38" x14ac:dyDescent="0.25">
      <c r="A14" s="91">
        <v>87</v>
      </c>
      <c r="B14" s="103" t="s">
        <v>300</v>
      </c>
      <c r="C14" s="103" t="s">
        <v>217</v>
      </c>
      <c r="D14" s="103" t="s">
        <v>227</v>
      </c>
      <c r="E14" s="103" t="s">
        <v>233</v>
      </c>
      <c r="F14" s="105" t="s">
        <v>299</v>
      </c>
      <c r="G14" s="106" t="s">
        <v>244</v>
      </c>
      <c r="H14" s="106" t="s">
        <v>288</v>
      </c>
      <c r="I14" s="106" t="s">
        <v>253</v>
      </c>
      <c r="J14" s="16" t="s">
        <v>269</v>
      </c>
      <c r="K14" s="16" t="s">
        <v>264</v>
      </c>
      <c r="L14" s="16" t="s">
        <v>274</v>
      </c>
      <c r="M14" s="16" t="s">
        <v>279</v>
      </c>
      <c r="N14" s="16" t="s">
        <v>284</v>
      </c>
    </row>
    <row r="15" spans="1:38" x14ac:dyDescent="0.25">
      <c r="A15" s="91">
        <v>86</v>
      </c>
      <c r="B15" s="103" t="s">
        <v>300</v>
      </c>
      <c r="C15" s="103" t="s">
        <v>217</v>
      </c>
      <c r="D15" s="103" t="s">
        <v>227</v>
      </c>
      <c r="E15" s="103" t="s">
        <v>233</v>
      </c>
      <c r="F15" s="105" t="s">
        <v>299</v>
      </c>
      <c r="G15" s="106" t="s">
        <v>244</v>
      </c>
      <c r="H15" s="106" t="s">
        <v>288</v>
      </c>
      <c r="I15" s="106" t="s">
        <v>253</v>
      </c>
      <c r="J15" s="16" t="s">
        <v>269</v>
      </c>
      <c r="K15" s="16" t="s">
        <v>264</v>
      </c>
      <c r="L15" s="16" t="s">
        <v>274</v>
      </c>
      <c r="M15" s="16" t="s">
        <v>279</v>
      </c>
      <c r="N15" s="16" t="s">
        <v>284</v>
      </c>
    </row>
    <row r="16" spans="1:38" x14ac:dyDescent="0.25">
      <c r="A16" s="91">
        <v>85</v>
      </c>
      <c r="B16" s="103" t="s">
        <v>300</v>
      </c>
      <c r="C16" s="103" t="s">
        <v>217</v>
      </c>
      <c r="D16" s="103" t="s">
        <v>227</v>
      </c>
      <c r="E16" s="103" t="s">
        <v>233</v>
      </c>
      <c r="F16" s="105" t="s">
        <v>299</v>
      </c>
      <c r="G16" s="106" t="s">
        <v>244</v>
      </c>
      <c r="H16" s="106" t="s">
        <v>288</v>
      </c>
      <c r="I16" s="106" t="s">
        <v>253</v>
      </c>
      <c r="J16" s="16" t="s">
        <v>269</v>
      </c>
      <c r="K16" s="16" t="s">
        <v>264</v>
      </c>
      <c r="L16" s="16" t="s">
        <v>274</v>
      </c>
      <c r="M16" s="16" t="s">
        <v>279</v>
      </c>
      <c r="N16" s="16" t="s">
        <v>284</v>
      </c>
    </row>
    <row r="17" spans="1:38" x14ac:dyDescent="0.25">
      <c r="A17" s="91">
        <v>84</v>
      </c>
      <c r="B17" s="103" t="s">
        <v>301</v>
      </c>
      <c r="C17" s="103" t="s">
        <v>217</v>
      </c>
      <c r="D17" s="103" t="s">
        <v>227</v>
      </c>
      <c r="E17" s="103" t="s">
        <v>233</v>
      </c>
      <c r="F17" s="105" t="s">
        <v>299</v>
      </c>
      <c r="G17" s="106" t="s">
        <v>244</v>
      </c>
      <c r="H17" s="106" t="s">
        <v>288</v>
      </c>
      <c r="I17" s="106" t="s">
        <v>253</v>
      </c>
      <c r="J17" s="16" t="s">
        <v>269</v>
      </c>
      <c r="K17" s="16" t="s">
        <v>264</v>
      </c>
      <c r="L17" s="16" t="s">
        <v>274</v>
      </c>
      <c r="M17" s="16" t="s">
        <v>279</v>
      </c>
      <c r="N17" s="16" t="s">
        <v>292</v>
      </c>
    </row>
    <row r="18" spans="1:38" x14ac:dyDescent="0.25">
      <c r="A18" s="91">
        <v>83</v>
      </c>
      <c r="B18" s="103" t="s">
        <v>301</v>
      </c>
      <c r="C18" s="103" t="s">
        <v>217</v>
      </c>
      <c r="D18" s="103" t="s">
        <v>227</v>
      </c>
      <c r="E18" s="103" t="s">
        <v>233</v>
      </c>
      <c r="F18" s="105" t="s">
        <v>299</v>
      </c>
      <c r="G18" s="106" t="s">
        <v>244</v>
      </c>
      <c r="H18" s="106" t="s">
        <v>288</v>
      </c>
      <c r="I18" s="106" t="s">
        <v>253</v>
      </c>
      <c r="J18" s="16" t="s">
        <v>269</v>
      </c>
      <c r="K18" s="16" t="s">
        <v>264</v>
      </c>
      <c r="L18" s="16" t="s">
        <v>274</v>
      </c>
      <c r="M18" s="16" t="s">
        <v>279</v>
      </c>
      <c r="N18" s="16" t="s">
        <v>292</v>
      </c>
    </row>
    <row r="19" spans="1:38" x14ac:dyDescent="0.25">
      <c r="A19" s="91">
        <v>82</v>
      </c>
      <c r="B19" s="103" t="s">
        <v>301</v>
      </c>
      <c r="C19" s="103" t="s">
        <v>217</v>
      </c>
      <c r="D19" s="103" t="s">
        <v>227</v>
      </c>
      <c r="E19" s="103" t="s">
        <v>233</v>
      </c>
      <c r="F19" s="105" t="s">
        <v>299</v>
      </c>
      <c r="G19" s="106" t="s">
        <v>244</v>
      </c>
      <c r="H19" s="106" t="s">
        <v>288</v>
      </c>
      <c r="I19" s="106" t="s">
        <v>253</v>
      </c>
      <c r="J19" s="16" t="s">
        <v>269</v>
      </c>
      <c r="K19" s="16" t="s">
        <v>264</v>
      </c>
      <c r="L19" s="16" t="s">
        <v>274</v>
      </c>
      <c r="M19" s="16" t="s">
        <v>279</v>
      </c>
      <c r="N19" s="16" t="s">
        <v>292</v>
      </c>
    </row>
    <row r="20" spans="1:38" x14ac:dyDescent="0.25">
      <c r="A20" s="91">
        <v>81</v>
      </c>
      <c r="B20" s="103" t="s">
        <v>301</v>
      </c>
      <c r="C20" s="103" t="s">
        <v>217</v>
      </c>
      <c r="D20" s="103" t="s">
        <v>227</v>
      </c>
      <c r="E20" s="103" t="s">
        <v>233</v>
      </c>
      <c r="F20" s="105" t="s">
        <v>299</v>
      </c>
      <c r="G20" s="106" t="s">
        <v>244</v>
      </c>
      <c r="H20" s="106" t="s">
        <v>288</v>
      </c>
      <c r="I20" s="106" t="s">
        <v>253</v>
      </c>
      <c r="J20" s="16" t="s">
        <v>269</v>
      </c>
      <c r="K20" s="16" t="s">
        <v>264</v>
      </c>
      <c r="L20" s="16" t="s">
        <v>274</v>
      </c>
      <c r="M20" s="16" t="s">
        <v>279</v>
      </c>
      <c r="N20" s="16" t="s">
        <v>292</v>
      </c>
    </row>
    <row r="21" spans="1:38" x14ac:dyDescent="0.25">
      <c r="A21" s="91">
        <v>80</v>
      </c>
      <c r="B21" s="103" t="s">
        <v>301</v>
      </c>
      <c r="C21" s="103" t="s">
        <v>217</v>
      </c>
      <c r="D21" s="103" t="s">
        <v>227</v>
      </c>
      <c r="E21" s="103" t="s">
        <v>233</v>
      </c>
      <c r="F21" s="105" t="s">
        <v>299</v>
      </c>
      <c r="G21" s="106" t="s">
        <v>244</v>
      </c>
      <c r="H21" s="106" t="s">
        <v>288</v>
      </c>
      <c r="I21" s="106" t="s">
        <v>253</v>
      </c>
      <c r="J21" s="16" t="s">
        <v>269</v>
      </c>
      <c r="K21" s="16" t="s">
        <v>264</v>
      </c>
      <c r="L21" s="16" t="s">
        <v>274</v>
      </c>
      <c r="M21" s="16" t="s">
        <v>279</v>
      </c>
      <c r="N21" s="16" t="s">
        <v>292</v>
      </c>
    </row>
    <row r="22" spans="1:38" x14ac:dyDescent="0.25">
      <c r="A22" s="91">
        <v>79</v>
      </c>
      <c r="B22" s="103" t="s">
        <v>301</v>
      </c>
      <c r="C22" s="103" t="s">
        <v>217</v>
      </c>
      <c r="D22" s="103" t="s">
        <v>227</v>
      </c>
      <c r="E22" s="103" t="s">
        <v>233</v>
      </c>
      <c r="F22" s="105" t="s">
        <v>299</v>
      </c>
      <c r="G22" s="106" t="s">
        <v>244</v>
      </c>
      <c r="H22" s="106" t="s">
        <v>288</v>
      </c>
      <c r="I22" s="106" t="s">
        <v>253</v>
      </c>
      <c r="J22" s="16" t="s">
        <v>269</v>
      </c>
      <c r="K22" s="16" t="s">
        <v>264</v>
      </c>
      <c r="L22" s="16" t="s">
        <v>274</v>
      </c>
      <c r="M22" s="16" t="s">
        <v>279</v>
      </c>
      <c r="N22" s="16" t="s">
        <v>292</v>
      </c>
    </row>
    <row r="23" spans="1:38" x14ac:dyDescent="0.25">
      <c r="A23" s="91">
        <v>78</v>
      </c>
      <c r="B23" s="103" t="s">
        <v>301</v>
      </c>
      <c r="C23" s="103" t="s">
        <v>217</v>
      </c>
      <c r="D23" s="103" t="s">
        <v>227</v>
      </c>
      <c r="E23" s="103" t="s">
        <v>233</v>
      </c>
      <c r="F23" s="105" t="s">
        <v>299</v>
      </c>
      <c r="G23" s="106" t="s">
        <v>244</v>
      </c>
      <c r="H23" s="106" t="s">
        <v>288</v>
      </c>
      <c r="I23" s="106" t="s">
        <v>253</v>
      </c>
      <c r="J23" s="16" t="s">
        <v>269</v>
      </c>
      <c r="K23" s="16" t="s">
        <v>264</v>
      </c>
      <c r="L23" s="16" t="s">
        <v>274</v>
      </c>
      <c r="M23" s="16" t="s">
        <v>279</v>
      </c>
      <c r="N23" s="16" t="s">
        <v>292</v>
      </c>
    </row>
    <row r="24" spans="1:38" x14ac:dyDescent="0.25">
      <c r="A24" s="91">
        <v>77</v>
      </c>
      <c r="B24" s="103" t="s">
        <v>301</v>
      </c>
      <c r="C24" s="103" t="s">
        <v>217</v>
      </c>
      <c r="D24" s="103" t="s">
        <v>227</v>
      </c>
      <c r="E24" s="103" t="s">
        <v>233</v>
      </c>
      <c r="F24" s="105" t="s">
        <v>299</v>
      </c>
      <c r="G24" s="106" t="s">
        <v>244</v>
      </c>
      <c r="H24" s="106" t="s">
        <v>288</v>
      </c>
      <c r="I24" s="106" t="s">
        <v>253</v>
      </c>
      <c r="J24" s="16" t="s">
        <v>269</v>
      </c>
      <c r="K24" s="16" t="s">
        <v>264</v>
      </c>
      <c r="L24" s="16" t="s">
        <v>274</v>
      </c>
      <c r="M24" s="16" t="s">
        <v>279</v>
      </c>
      <c r="N24" s="16" t="s">
        <v>292</v>
      </c>
    </row>
    <row r="25" spans="1:38" x14ac:dyDescent="0.25">
      <c r="A25" s="91">
        <v>76</v>
      </c>
      <c r="B25" s="103" t="s">
        <v>301</v>
      </c>
      <c r="C25" s="103" t="s">
        <v>217</v>
      </c>
      <c r="D25" s="103" t="s">
        <v>227</v>
      </c>
      <c r="E25" s="103" t="s">
        <v>233</v>
      </c>
      <c r="F25" s="105" t="s">
        <v>299</v>
      </c>
      <c r="G25" s="106" t="s">
        <v>244</v>
      </c>
      <c r="H25" s="106" t="s">
        <v>288</v>
      </c>
      <c r="I25" s="106" t="s">
        <v>253</v>
      </c>
      <c r="J25" s="16" t="s">
        <v>269</v>
      </c>
      <c r="K25" s="16" t="s">
        <v>264</v>
      </c>
      <c r="L25" s="16" t="s">
        <v>274</v>
      </c>
      <c r="M25" s="16" t="s">
        <v>279</v>
      </c>
      <c r="N25" s="16" t="s">
        <v>292</v>
      </c>
    </row>
    <row r="26" spans="1:38" x14ac:dyDescent="0.25">
      <c r="A26" s="91">
        <v>75</v>
      </c>
      <c r="B26" s="103" t="s">
        <v>301</v>
      </c>
      <c r="C26" s="103" t="s">
        <v>218</v>
      </c>
      <c r="D26" s="103" t="s">
        <v>227</v>
      </c>
      <c r="E26" s="103" t="s">
        <v>233</v>
      </c>
      <c r="F26" s="105" t="s">
        <v>299</v>
      </c>
      <c r="G26" s="106" t="s">
        <v>244</v>
      </c>
      <c r="H26" s="106" t="s">
        <v>288</v>
      </c>
      <c r="I26" s="106" t="s">
        <v>253</v>
      </c>
      <c r="J26" s="16" t="s">
        <v>269</v>
      </c>
      <c r="K26" s="16" t="s">
        <v>264</v>
      </c>
      <c r="L26" s="16" t="s">
        <v>274</v>
      </c>
      <c r="M26" s="16" t="s">
        <v>279</v>
      </c>
      <c r="N26" s="16" t="s">
        <v>292</v>
      </c>
    </row>
    <row r="27" spans="1:38" x14ac:dyDescent="0.25">
      <c r="A27" s="91">
        <v>74</v>
      </c>
      <c r="B27" s="103" t="s">
        <v>301</v>
      </c>
      <c r="C27" s="103" t="s">
        <v>218</v>
      </c>
      <c r="D27" s="103" t="s">
        <v>227</v>
      </c>
      <c r="E27" s="103" t="s">
        <v>233</v>
      </c>
      <c r="F27" s="105" t="s">
        <v>299</v>
      </c>
      <c r="G27" s="106" t="s">
        <v>244</v>
      </c>
      <c r="H27" s="106" t="s">
        <v>288</v>
      </c>
      <c r="I27" s="106" t="s">
        <v>253</v>
      </c>
      <c r="J27" s="16" t="s">
        <v>269</v>
      </c>
      <c r="K27" s="16" t="s">
        <v>264</v>
      </c>
      <c r="L27" s="16" t="s">
        <v>274</v>
      </c>
      <c r="M27" s="16" t="s">
        <v>279</v>
      </c>
      <c r="N27" s="16" t="s">
        <v>292</v>
      </c>
    </row>
    <row r="28" spans="1:38" x14ac:dyDescent="0.25">
      <c r="A28" s="91">
        <v>73</v>
      </c>
      <c r="B28" s="103" t="s">
        <v>301</v>
      </c>
      <c r="C28" s="103" t="s">
        <v>218</v>
      </c>
      <c r="D28" s="103" t="s">
        <v>227</v>
      </c>
      <c r="E28" s="103" t="s">
        <v>233</v>
      </c>
      <c r="F28" s="105" t="s">
        <v>299</v>
      </c>
      <c r="G28" s="106" t="s">
        <v>244</v>
      </c>
      <c r="H28" s="106" t="s">
        <v>288</v>
      </c>
      <c r="I28" s="106" t="s">
        <v>253</v>
      </c>
      <c r="J28" s="16" t="s">
        <v>269</v>
      </c>
      <c r="K28" s="16" t="s">
        <v>264</v>
      </c>
      <c r="L28" s="16" t="s">
        <v>274</v>
      </c>
      <c r="M28" s="16" t="s">
        <v>279</v>
      </c>
      <c r="N28" s="16" t="s">
        <v>292</v>
      </c>
    </row>
    <row r="29" spans="1:38" x14ac:dyDescent="0.25">
      <c r="A29" s="91">
        <v>72</v>
      </c>
      <c r="B29" s="103" t="s">
        <v>301</v>
      </c>
      <c r="C29" s="103" t="s">
        <v>218</v>
      </c>
      <c r="D29" s="103" t="s">
        <v>227</v>
      </c>
      <c r="E29" s="103" t="s">
        <v>233</v>
      </c>
      <c r="F29" s="105" t="s">
        <v>299</v>
      </c>
      <c r="G29" s="106" t="s">
        <v>244</v>
      </c>
      <c r="H29" s="106" t="s">
        <v>288</v>
      </c>
      <c r="I29" s="106" t="s">
        <v>253</v>
      </c>
      <c r="J29" s="16" t="s">
        <v>269</v>
      </c>
      <c r="K29" s="16" t="s">
        <v>264</v>
      </c>
      <c r="L29" s="16" t="s">
        <v>274</v>
      </c>
      <c r="M29" s="16" t="s">
        <v>279</v>
      </c>
      <c r="N29" s="16" t="s">
        <v>292</v>
      </c>
    </row>
    <row r="30" spans="1:38" s="96" customFormat="1" x14ac:dyDescent="0.25">
      <c r="A30" s="98">
        <v>71</v>
      </c>
      <c r="B30" s="96" t="s">
        <v>301</v>
      </c>
      <c r="C30" s="96" t="s">
        <v>218</v>
      </c>
      <c r="D30" s="96" t="s">
        <v>227</v>
      </c>
      <c r="E30" s="96" t="s">
        <v>233</v>
      </c>
      <c r="F30" s="105" t="s">
        <v>299</v>
      </c>
      <c r="G30" s="106" t="s">
        <v>244</v>
      </c>
      <c r="H30" s="106" t="s">
        <v>288</v>
      </c>
      <c r="I30" s="106" t="s">
        <v>253</v>
      </c>
      <c r="J30" s="16" t="s">
        <v>269</v>
      </c>
      <c r="K30" s="16" t="s">
        <v>264</v>
      </c>
      <c r="L30" s="16" t="s">
        <v>274</v>
      </c>
      <c r="M30" s="16" t="s">
        <v>279</v>
      </c>
      <c r="N30" s="16" t="s">
        <v>292</v>
      </c>
      <c r="Y30" s="105"/>
      <c r="AL30" s="105"/>
    </row>
    <row r="31" spans="1:38" x14ac:dyDescent="0.25">
      <c r="A31" s="93">
        <v>70</v>
      </c>
      <c r="B31" s="89" t="s">
        <v>302</v>
      </c>
      <c r="C31" s="103" t="s">
        <v>218</v>
      </c>
      <c r="D31" s="103" t="s">
        <v>227</v>
      </c>
      <c r="E31" s="103" t="s">
        <v>233</v>
      </c>
      <c r="F31" s="104" t="s">
        <v>240</v>
      </c>
      <c r="G31" s="106" t="s">
        <v>245</v>
      </c>
      <c r="H31" s="106" t="s">
        <v>289</v>
      </c>
      <c r="I31" s="106" t="s">
        <v>254</v>
      </c>
      <c r="J31" s="16" t="s">
        <v>260</v>
      </c>
      <c r="K31" s="16" t="s">
        <v>267</v>
      </c>
      <c r="L31" s="16" t="s">
        <v>275</v>
      </c>
      <c r="M31" s="16" t="s">
        <v>280</v>
      </c>
      <c r="N31" s="16" t="s">
        <v>293</v>
      </c>
    </row>
    <row r="32" spans="1:38" x14ac:dyDescent="0.25">
      <c r="A32" s="93">
        <v>69</v>
      </c>
      <c r="B32" s="89" t="s">
        <v>302</v>
      </c>
      <c r="C32" s="103" t="s">
        <v>218</v>
      </c>
      <c r="D32" s="103" t="s">
        <v>228</v>
      </c>
      <c r="E32" s="103" t="s">
        <v>234</v>
      </c>
      <c r="F32" s="104" t="s">
        <v>240</v>
      </c>
      <c r="G32" s="106" t="s">
        <v>245</v>
      </c>
      <c r="H32" s="106" t="s">
        <v>289</v>
      </c>
      <c r="I32" s="106" t="s">
        <v>254</v>
      </c>
      <c r="J32" s="16" t="s">
        <v>260</v>
      </c>
      <c r="K32" s="16" t="s">
        <v>267</v>
      </c>
      <c r="L32" s="16" t="s">
        <v>275</v>
      </c>
      <c r="M32" s="16" t="s">
        <v>280</v>
      </c>
      <c r="N32" s="16" t="s">
        <v>293</v>
      </c>
    </row>
    <row r="33" spans="1:14" x14ac:dyDescent="0.25">
      <c r="A33" s="93">
        <v>68</v>
      </c>
      <c r="B33" s="89" t="s">
        <v>302</v>
      </c>
      <c r="C33" s="103" t="s">
        <v>218</v>
      </c>
      <c r="D33" s="103" t="s">
        <v>228</v>
      </c>
      <c r="E33" s="103" t="s">
        <v>234</v>
      </c>
      <c r="F33" s="104" t="s">
        <v>240</v>
      </c>
      <c r="G33" s="106" t="s">
        <v>245</v>
      </c>
      <c r="H33" s="106" t="s">
        <v>289</v>
      </c>
      <c r="I33" s="106" t="s">
        <v>254</v>
      </c>
      <c r="J33" s="16" t="s">
        <v>260</v>
      </c>
      <c r="K33" s="16" t="s">
        <v>267</v>
      </c>
      <c r="L33" s="16" t="s">
        <v>275</v>
      </c>
      <c r="M33" s="16" t="s">
        <v>280</v>
      </c>
      <c r="N33" s="16" t="s">
        <v>293</v>
      </c>
    </row>
    <row r="34" spans="1:14" x14ac:dyDescent="0.25">
      <c r="A34" s="93">
        <v>67</v>
      </c>
      <c r="B34" s="89" t="s">
        <v>302</v>
      </c>
      <c r="C34" s="103" t="s">
        <v>218</v>
      </c>
      <c r="D34" s="103" t="s">
        <v>228</v>
      </c>
      <c r="E34" s="103" t="s">
        <v>234</v>
      </c>
      <c r="F34" s="104" t="s">
        <v>240</v>
      </c>
      <c r="G34" s="106" t="s">
        <v>245</v>
      </c>
      <c r="H34" s="106" t="s">
        <v>289</v>
      </c>
      <c r="I34" s="106" t="s">
        <v>254</v>
      </c>
      <c r="J34" s="16" t="s">
        <v>260</v>
      </c>
      <c r="K34" s="16" t="s">
        <v>267</v>
      </c>
      <c r="L34" s="16" t="s">
        <v>275</v>
      </c>
      <c r="M34" s="16" t="s">
        <v>280</v>
      </c>
      <c r="N34" s="16" t="s">
        <v>293</v>
      </c>
    </row>
    <row r="35" spans="1:14" x14ac:dyDescent="0.25">
      <c r="A35" s="93">
        <v>66</v>
      </c>
      <c r="B35" s="89" t="s">
        <v>302</v>
      </c>
      <c r="C35" s="103" t="s">
        <v>218</v>
      </c>
      <c r="D35" s="103" t="s">
        <v>228</v>
      </c>
      <c r="E35" s="103" t="s">
        <v>234</v>
      </c>
      <c r="F35" s="104" t="s">
        <v>240</v>
      </c>
      <c r="G35" s="106" t="s">
        <v>245</v>
      </c>
      <c r="H35" s="106" t="s">
        <v>289</v>
      </c>
      <c r="I35" s="106" t="s">
        <v>254</v>
      </c>
      <c r="J35" s="16" t="s">
        <v>260</v>
      </c>
      <c r="K35" s="16" t="s">
        <v>267</v>
      </c>
      <c r="L35" s="16" t="s">
        <v>275</v>
      </c>
      <c r="M35" s="16" t="s">
        <v>280</v>
      </c>
      <c r="N35" s="16" t="s">
        <v>293</v>
      </c>
    </row>
    <row r="36" spans="1:14" x14ac:dyDescent="0.25">
      <c r="A36" s="93">
        <v>65</v>
      </c>
      <c r="B36" s="89" t="s">
        <v>302</v>
      </c>
      <c r="C36" s="103" t="s">
        <v>218</v>
      </c>
      <c r="D36" s="103" t="s">
        <v>228</v>
      </c>
      <c r="E36" s="103" t="s">
        <v>234</v>
      </c>
      <c r="F36" s="104" t="s">
        <v>240</v>
      </c>
      <c r="G36" s="106" t="s">
        <v>245</v>
      </c>
      <c r="H36" s="106" t="s">
        <v>289</v>
      </c>
      <c r="I36" s="106" t="s">
        <v>254</v>
      </c>
      <c r="J36" s="16" t="s">
        <v>260</v>
      </c>
      <c r="K36" s="16" t="s">
        <v>267</v>
      </c>
      <c r="L36" s="16" t="s">
        <v>275</v>
      </c>
      <c r="M36" s="16" t="s">
        <v>280</v>
      </c>
      <c r="N36" s="16" t="s">
        <v>293</v>
      </c>
    </row>
    <row r="37" spans="1:14" x14ac:dyDescent="0.25">
      <c r="A37" s="93">
        <v>64</v>
      </c>
      <c r="B37" s="89" t="s">
        <v>302</v>
      </c>
      <c r="C37" s="103" t="s">
        <v>219</v>
      </c>
      <c r="D37" s="103" t="s">
        <v>228</v>
      </c>
      <c r="E37" s="103" t="s">
        <v>234</v>
      </c>
      <c r="F37" s="104" t="s">
        <v>240</v>
      </c>
      <c r="G37" s="106" t="s">
        <v>245</v>
      </c>
      <c r="H37" s="106" t="s">
        <v>289</v>
      </c>
      <c r="I37" s="106" t="s">
        <v>254</v>
      </c>
      <c r="J37" s="16" t="s">
        <v>260</v>
      </c>
      <c r="K37" s="16" t="s">
        <v>267</v>
      </c>
      <c r="L37" s="16" t="s">
        <v>275</v>
      </c>
      <c r="M37" s="16" t="s">
        <v>280</v>
      </c>
      <c r="N37" s="16" t="s">
        <v>293</v>
      </c>
    </row>
    <row r="38" spans="1:14" x14ac:dyDescent="0.25">
      <c r="A38" s="93">
        <v>63</v>
      </c>
      <c r="B38" s="89" t="s">
        <v>302</v>
      </c>
      <c r="C38" s="103" t="s">
        <v>219</v>
      </c>
      <c r="D38" s="103" t="s">
        <v>228</v>
      </c>
      <c r="E38" s="103" t="s">
        <v>234</v>
      </c>
      <c r="F38" s="104" t="s">
        <v>240</v>
      </c>
      <c r="G38" s="106" t="s">
        <v>245</v>
      </c>
      <c r="H38" s="106" t="s">
        <v>289</v>
      </c>
      <c r="I38" s="106" t="s">
        <v>254</v>
      </c>
      <c r="J38" s="16" t="s">
        <v>260</v>
      </c>
      <c r="K38" s="16" t="s">
        <v>267</v>
      </c>
      <c r="L38" s="16" t="s">
        <v>275</v>
      </c>
      <c r="M38" s="16" t="s">
        <v>280</v>
      </c>
      <c r="N38" s="16" t="s">
        <v>293</v>
      </c>
    </row>
    <row r="39" spans="1:14" x14ac:dyDescent="0.25">
      <c r="A39" s="93">
        <v>62</v>
      </c>
      <c r="B39" s="89" t="s">
        <v>302</v>
      </c>
      <c r="C39" s="103" t="s">
        <v>219</v>
      </c>
      <c r="D39" s="103" t="s">
        <v>228</v>
      </c>
      <c r="E39" s="103" t="s">
        <v>234</v>
      </c>
      <c r="F39" s="104" t="s">
        <v>240</v>
      </c>
      <c r="G39" s="106" t="s">
        <v>245</v>
      </c>
      <c r="H39" s="106" t="s">
        <v>289</v>
      </c>
      <c r="I39" s="106" t="s">
        <v>254</v>
      </c>
      <c r="J39" s="16" t="s">
        <v>260</v>
      </c>
      <c r="K39" s="16" t="s">
        <v>267</v>
      </c>
      <c r="L39" s="16" t="s">
        <v>275</v>
      </c>
      <c r="M39" s="16" t="s">
        <v>280</v>
      </c>
      <c r="N39" s="16" t="s">
        <v>293</v>
      </c>
    </row>
    <row r="40" spans="1:14" x14ac:dyDescent="0.25">
      <c r="A40" s="93">
        <v>61</v>
      </c>
      <c r="B40" s="89" t="s">
        <v>302</v>
      </c>
      <c r="C40" s="103" t="s">
        <v>219</v>
      </c>
      <c r="D40" s="103" t="s">
        <v>228</v>
      </c>
      <c r="E40" s="103" t="s">
        <v>234</v>
      </c>
      <c r="F40" s="104" t="s">
        <v>240</v>
      </c>
      <c r="G40" s="106" t="s">
        <v>245</v>
      </c>
      <c r="H40" s="106" t="s">
        <v>289</v>
      </c>
      <c r="I40" s="106" t="s">
        <v>254</v>
      </c>
      <c r="J40" s="16" t="s">
        <v>260</v>
      </c>
      <c r="K40" s="16" t="s">
        <v>267</v>
      </c>
      <c r="L40" s="16" t="s">
        <v>275</v>
      </c>
      <c r="M40" s="16" t="s">
        <v>280</v>
      </c>
      <c r="N40" s="16" t="s">
        <v>293</v>
      </c>
    </row>
    <row r="41" spans="1:14" x14ac:dyDescent="0.25">
      <c r="A41" s="93">
        <v>60</v>
      </c>
      <c r="B41" s="89" t="s">
        <v>211</v>
      </c>
      <c r="C41" s="103" t="s">
        <v>219</v>
      </c>
      <c r="D41" s="103" t="s">
        <v>228</v>
      </c>
      <c r="E41" s="103" t="s">
        <v>234</v>
      </c>
      <c r="F41" s="104" t="s">
        <v>240</v>
      </c>
      <c r="G41" s="106" t="s">
        <v>245</v>
      </c>
      <c r="H41" s="106" t="s">
        <v>289</v>
      </c>
      <c r="I41" s="106" t="s">
        <v>254</v>
      </c>
      <c r="J41" s="16" t="s">
        <v>260</v>
      </c>
      <c r="K41" s="16" t="s">
        <v>267</v>
      </c>
      <c r="L41" s="16" t="s">
        <v>275</v>
      </c>
      <c r="M41" s="16" t="s">
        <v>280</v>
      </c>
      <c r="N41" s="16" t="s">
        <v>293</v>
      </c>
    </row>
    <row r="42" spans="1:14" x14ac:dyDescent="0.25">
      <c r="A42" s="93">
        <v>59</v>
      </c>
      <c r="B42" s="89" t="s">
        <v>211</v>
      </c>
      <c r="C42" s="103" t="s">
        <v>219</v>
      </c>
      <c r="D42" s="103" t="s">
        <v>228</v>
      </c>
      <c r="E42" s="103" t="s">
        <v>234</v>
      </c>
      <c r="F42" s="104" t="s">
        <v>240</v>
      </c>
      <c r="G42" s="106" t="s">
        <v>245</v>
      </c>
      <c r="H42" s="106" t="s">
        <v>289</v>
      </c>
      <c r="I42" s="106" t="s">
        <v>254</v>
      </c>
      <c r="J42" s="16" t="s">
        <v>260</v>
      </c>
      <c r="K42" s="16" t="s">
        <v>267</v>
      </c>
      <c r="L42" s="16" t="s">
        <v>275</v>
      </c>
      <c r="M42" s="16" t="s">
        <v>280</v>
      </c>
      <c r="N42" s="16" t="s">
        <v>293</v>
      </c>
    </row>
    <row r="43" spans="1:14" x14ac:dyDescent="0.25">
      <c r="A43" s="93">
        <v>58</v>
      </c>
      <c r="B43" s="89" t="s">
        <v>211</v>
      </c>
      <c r="C43" s="103" t="s">
        <v>219</v>
      </c>
      <c r="D43" s="103" t="s">
        <v>228</v>
      </c>
      <c r="E43" s="103" t="s">
        <v>234</v>
      </c>
      <c r="F43" s="104" t="s">
        <v>240</v>
      </c>
      <c r="G43" s="106" t="s">
        <v>245</v>
      </c>
      <c r="H43" s="106" t="s">
        <v>289</v>
      </c>
      <c r="I43" s="106" t="s">
        <v>254</v>
      </c>
      <c r="J43" s="16" t="s">
        <v>260</v>
      </c>
      <c r="K43" s="16" t="s">
        <v>267</v>
      </c>
      <c r="L43" s="16" t="s">
        <v>275</v>
      </c>
      <c r="M43" s="16" t="s">
        <v>280</v>
      </c>
      <c r="N43" s="16" t="s">
        <v>293</v>
      </c>
    </row>
    <row r="44" spans="1:14" x14ac:dyDescent="0.25">
      <c r="A44" s="93">
        <v>57</v>
      </c>
      <c r="B44" s="89" t="s">
        <v>211</v>
      </c>
      <c r="C44" s="103" t="s">
        <v>219</v>
      </c>
      <c r="D44" s="103" t="s">
        <v>228</v>
      </c>
      <c r="E44" s="103" t="s">
        <v>234</v>
      </c>
      <c r="F44" s="104" t="s">
        <v>240</v>
      </c>
      <c r="G44" s="106" t="s">
        <v>245</v>
      </c>
      <c r="H44" s="106" t="s">
        <v>289</v>
      </c>
      <c r="I44" s="106" t="s">
        <v>254</v>
      </c>
      <c r="J44" s="16" t="s">
        <v>260</v>
      </c>
      <c r="K44" s="16" t="s">
        <v>267</v>
      </c>
      <c r="L44" s="16" t="s">
        <v>275</v>
      </c>
      <c r="M44" s="16" t="s">
        <v>280</v>
      </c>
      <c r="N44" s="16" t="s">
        <v>293</v>
      </c>
    </row>
    <row r="45" spans="1:14" x14ac:dyDescent="0.25">
      <c r="A45" s="93">
        <v>56</v>
      </c>
      <c r="B45" s="89" t="s">
        <v>211</v>
      </c>
      <c r="C45" s="103" t="s">
        <v>219</v>
      </c>
      <c r="D45" s="103" t="s">
        <v>228</v>
      </c>
      <c r="E45" s="103" t="s">
        <v>234</v>
      </c>
      <c r="F45" s="104" t="s">
        <v>240</v>
      </c>
      <c r="G45" s="106" t="s">
        <v>245</v>
      </c>
      <c r="H45" s="106" t="s">
        <v>289</v>
      </c>
      <c r="I45" s="106" t="s">
        <v>254</v>
      </c>
      <c r="J45" s="16" t="s">
        <v>260</v>
      </c>
      <c r="K45" s="16" t="s">
        <v>267</v>
      </c>
      <c r="L45" s="16" t="s">
        <v>275</v>
      </c>
      <c r="M45" s="16" t="s">
        <v>280</v>
      </c>
      <c r="N45" s="16" t="s">
        <v>293</v>
      </c>
    </row>
    <row r="46" spans="1:14" x14ac:dyDescent="0.25">
      <c r="A46" s="93">
        <v>55</v>
      </c>
      <c r="B46" s="89" t="s">
        <v>211</v>
      </c>
      <c r="C46" s="103" t="s">
        <v>219</v>
      </c>
      <c r="D46" s="103" t="s">
        <v>228</v>
      </c>
      <c r="E46" s="103" t="s">
        <v>234</v>
      </c>
      <c r="F46" s="104" t="s">
        <v>240</v>
      </c>
      <c r="G46" s="106" t="s">
        <v>245</v>
      </c>
      <c r="H46" s="106" t="s">
        <v>289</v>
      </c>
      <c r="I46" s="106" t="s">
        <v>254</v>
      </c>
      <c r="J46" s="16" t="s">
        <v>260</v>
      </c>
      <c r="K46" s="16" t="s">
        <v>267</v>
      </c>
      <c r="L46" s="16" t="s">
        <v>275</v>
      </c>
      <c r="M46" s="16" t="s">
        <v>280</v>
      </c>
      <c r="N46" s="16" t="s">
        <v>293</v>
      </c>
    </row>
    <row r="47" spans="1:14" x14ac:dyDescent="0.25">
      <c r="A47" s="93">
        <v>54</v>
      </c>
      <c r="B47" s="89" t="s">
        <v>211</v>
      </c>
      <c r="C47" s="103" t="s">
        <v>219</v>
      </c>
      <c r="D47" s="103" t="s">
        <v>228</v>
      </c>
      <c r="E47" s="103" t="s">
        <v>234</v>
      </c>
      <c r="F47" s="104" t="s">
        <v>240</v>
      </c>
      <c r="G47" s="106" t="s">
        <v>245</v>
      </c>
      <c r="H47" s="106" t="s">
        <v>289</v>
      </c>
      <c r="I47" s="106" t="s">
        <v>254</v>
      </c>
      <c r="J47" s="16" t="s">
        <v>260</v>
      </c>
      <c r="K47" s="16" t="s">
        <v>267</v>
      </c>
      <c r="L47" s="16" t="s">
        <v>275</v>
      </c>
      <c r="M47" s="16" t="s">
        <v>280</v>
      </c>
      <c r="N47" s="16" t="s">
        <v>293</v>
      </c>
    </row>
    <row r="48" spans="1:14" x14ac:dyDescent="0.25">
      <c r="A48" s="93">
        <v>53</v>
      </c>
      <c r="B48" s="89" t="s">
        <v>211</v>
      </c>
      <c r="C48" s="103" t="s">
        <v>219</v>
      </c>
      <c r="D48" s="103" t="s">
        <v>228</v>
      </c>
      <c r="E48" s="103" t="s">
        <v>234</v>
      </c>
      <c r="F48" s="104" t="s">
        <v>240</v>
      </c>
      <c r="G48" s="106" t="s">
        <v>245</v>
      </c>
      <c r="H48" s="106" t="s">
        <v>289</v>
      </c>
      <c r="I48" s="106" t="s">
        <v>254</v>
      </c>
      <c r="J48" s="16" t="s">
        <v>260</v>
      </c>
      <c r="K48" s="16" t="s">
        <v>267</v>
      </c>
      <c r="L48" s="16" t="s">
        <v>275</v>
      </c>
      <c r="M48" s="16" t="s">
        <v>280</v>
      </c>
      <c r="N48" s="16" t="s">
        <v>293</v>
      </c>
    </row>
    <row r="49" spans="1:14" x14ac:dyDescent="0.25">
      <c r="A49" s="93">
        <v>52</v>
      </c>
      <c r="B49" s="89" t="s">
        <v>211</v>
      </c>
      <c r="C49" s="103" t="s">
        <v>219</v>
      </c>
      <c r="D49" s="103" t="s">
        <v>228</v>
      </c>
      <c r="E49" s="103" t="s">
        <v>234</v>
      </c>
      <c r="F49" s="104" t="s">
        <v>240</v>
      </c>
      <c r="G49" s="106" t="s">
        <v>245</v>
      </c>
      <c r="H49" s="106" t="s">
        <v>289</v>
      </c>
      <c r="I49" s="106" t="s">
        <v>254</v>
      </c>
      <c r="J49" s="16" t="s">
        <v>260</v>
      </c>
      <c r="K49" s="16" t="s">
        <v>267</v>
      </c>
      <c r="L49" s="16" t="s">
        <v>275</v>
      </c>
      <c r="M49" s="16" t="s">
        <v>280</v>
      </c>
      <c r="N49" s="16" t="s">
        <v>293</v>
      </c>
    </row>
    <row r="50" spans="1:14" x14ac:dyDescent="0.25">
      <c r="A50" s="93">
        <v>51</v>
      </c>
      <c r="B50" s="89" t="s">
        <v>211</v>
      </c>
      <c r="C50" s="103" t="s">
        <v>219</v>
      </c>
      <c r="D50" s="103" t="s">
        <v>228</v>
      </c>
      <c r="E50" s="103" t="s">
        <v>234</v>
      </c>
      <c r="F50" s="104" t="s">
        <v>240</v>
      </c>
      <c r="G50" s="106" t="s">
        <v>245</v>
      </c>
      <c r="H50" s="106" t="s">
        <v>289</v>
      </c>
      <c r="I50" s="106" t="s">
        <v>254</v>
      </c>
      <c r="J50" s="16" t="s">
        <v>260</v>
      </c>
      <c r="K50" s="16" t="s">
        <v>267</v>
      </c>
      <c r="L50" s="16" t="s">
        <v>275</v>
      </c>
      <c r="M50" s="16" t="s">
        <v>280</v>
      </c>
      <c r="N50" s="16" t="s">
        <v>293</v>
      </c>
    </row>
    <row r="51" spans="1:14" x14ac:dyDescent="0.25">
      <c r="A51" s="93">
        <v>50</v>
      </c>
      <c r="B51" s="89" t="s">
        <v>211</v>
      </c>
      <c r="C51" s="103" t="s">
        <v>219</v>
      </c>
      <c r="D51" s="103" t="s">
        <v>228</v>
      </c>
      <c r="E51" s="103" t="s">
        <v>234</v>
      </c>
      <c r="F51" s="104" t="s">
        <v>240</v>
      </c>
      <c r="G51" s="106" t="s">
        <v>245</v>
      </c>
      <c r="H51" s="106" t="s">
        <v>289</v>
      </c>
      <c r="I51" s="106" t="s">
        <v>254</v>
      </c>
      <c r="J51" s="16" t="s">
        <v>260</v>
      </c>
      <c r="K51" s="16" t="s">
        <v>267</v>
      </c>
      <c r="L51" s="16" t="s">
        <v>275</v>
      </c>
      <c r="M51" s="16" t="s">
        <v>280</v>
      </c>
      <c r="N51" s="16" t="s">
        <v>293</v>
      </c>
    </row>
    <row r="52" spans="1:14" x14ac:dyDescent="0.25">
      <c r="A52" s="93">
        <v>49</v>
      </c>
      <c r="B52" s="89" t="s">
        <v>211</v>
      </c>
      <c r="C52" s="103" t="s">
        <v>219</v>
      </c>
      <c r="D52" s="103" t="s">
        <v>228</v>
      </c>
      <c r="E52" s="103" t="s">
        <v>234</v>
      </c>
      <c r="F52" s="104" t="s">
        <v>240</v>
      </c>
      <c r="G52" s="106" t="s">
        <v>245</v>
      </c>
      <c r="H52" s="106" t="s">
        <v>289</v>
      </c>
      <c r="I52" s="106" t="s">
        <v>254</v>
      </c>
      <c r="J52" s="16" t="s">
        <v>260</v>
      </c>
      <c r="K52" s="16" t="s">
        <v>267</v>
      </c>
      <c r="L52" s="16" t="s">
        <v>275</v>
      </c>
      <c r="M52" s="16" t="s">
        <v>280</v>
      </c>
      <c r="N52" s="16" t="s">
        <v>293</v>
      </c>
    </row>
    <row r="53" spans="1:14" x14ac:dyDescent="0.25">
      <c r="A53" s="93">
        <v>48</v>
      </c>
      <c r="B53" s="89" t="s">
        <v>211</v>
      </c>
      <c r="C53" s="103" t="s">
        <v>219</v>
      </c>
      <c r="D53" s="103" t="s">
        <v>228</v>
      </c>
      <c r="E53" s="103" t="s">
        <v>234</v>
      </c>
      <c r="F53" s="104" t="s">
        <v>240</v>
      </c>
      <c r="G53" s="106" t="s">
        <v>245</v>
      </c>
      <c r="H53" s="106" t="s">
        <v>289</v>
      </c>
      <c r="I53" s="106" t="s">
        <v>254</v>
      </c>
      <c r="J53" s="16" t="s">
        <v>260</v>
      </c>
      <c r="K53" s="16" t="s">
        <v>267</v>
      </c>
      <c r="L53" s="16" t="s">
        <v>275</v>
      </c>
      <c r="M53" s="16" t="s">
        <v>280</v>
      </c>
      <c r="N53" s="16" t="s">
        <v>293</v>
      </c>
    </row>
    <row r="54" spans="1:14" x14ac:dyDescent="0.25">
      <c r="A54" s="93">
        <v>47</v>
      </c>
      <c r="B54" s="89" t="s">
        <v>211</v>
      </c>
      <c r="C54" s="103" t="s">
        <v>219</v>
      </c>
      <c r="D54" s="103" t="s">
        <v>228</v>
      </c>
      <c r="E54" s="103" t="s">
        <v>234</v>
      </c>
      <c r="F54" s="104" t="s">
        <v>240</v>
      </c>
      <c r="G54" s="106" t="s">
        <v>245</v>
      </c>
      <c r="H54" s="106" t="s">
        <v>289</v>
      </c>
      <c r="I54" s="106" t="s">
        <v>254</v>
      </c>
      <c r="J54" s="16" t="s">
        <v>260</v>
      </c>
      <c r="K54" s="16" t="s">
        <v>267</v>
      </c>
      <c r="L54" s="16" t="s">
        <v>275</v>
      </c>
      <c r="M54" s="16" t="s">
        <v>280</v>
      </c>
      <c r="N54" s="16" t="s">
        <v>293</v>
      </c>
    </row>
    <row r="55" spans="1:14" x14ac:dyDescent="0.25">
      <c r="A55" s="93">
        <v>46</v>
      </c>
      <c r="B55" s="89" t="s">
        <v>211</v>
      </c>
      <c r="C55" s="103" t="s">
        <v>219</v>
      </c>
      <c r="D55" s="103" t="s">
        <v>228</v>
      </c>
      <c r="E55" s="103" t="s">
        <v>234</v>
      </c>
      <c r="F55" s="104" t="s">
        <v>240</v>
      </c>
      <c r="G55" s="106" t="s">
        <v>245</v>
      </c>
      <c r="H55" s="106" t="s">
        <v>289</v>
      </c>
      <c r="I55" s="106" t="s">
        <v>254</v>
      </c>
      <c r="J55" s="16" t="s">
        <v>260</v>
      </c>
      <c r="K55" s="16" t="s">
        <v>267</v>
      </c>
      <c r="L55" s="16" t="s">
        <v>275</v>
      </c>
      <c r="M55" s="16" t="s">
        <v>280</v>
      </c>
      <c r="N55" s="16" t="s">
        <v>293</v>
      </c>
    </row>
    <row r="56" spans="1:14" x14ac:dyDescent="0.25">
      <c r="A56" s="93">
        <v>45</v>
      </c>
      <c r="B56" s="89" t="s">
        <v>211</v>
      </c>
      <c r="C56" s="103" t="s">
        <v>219</v>
      </c>
      <c r="D56" s="103" t="s">
        <v>228</v>
      </c>
      <c r="E56" s="103" t="s">
        <v>234</v>
      </c>
      <c r="F56" s="104" t="s">
        <v>240</v>
      </c>
      <c r="G56" s="106" t="s">
        <v>245</v>
      </c>
      <c r="H56" s="106" t="s">
        <v>289</v>
      </c>
      <c r="I56" s="106" t="s">
        <v>254</v>
      </c>
      <c r="J56" s="16" t="s">
        <v>260</v>
      </c>
      <c r="K56" s="16" t="s">
        <v>267</v>
      </c>
      <c r="L56" s="16" t="s">
        <v>275</v>
      </c>
      <c r="M56" s="16" t="s">
        <v>280</v>
      </c>
      <c r="N56" s="16" t="s">
        <v>293</v>
      </c>
    </row>
    <row r="57" spans="1:14" x14ac:dyDescent="0.25">
      <c r="A57" s="93">
        <v>44</v>
      </c>
      <c r="B57" s="89" t="s">
        <v>211</v>
      </c>
      <c r="C57" s="103" t="s">
        <v>219</v>
      </c>
      <c r="D57" s="103" t="s">
        <v>228</v>
      </c>
      <c r="E57" s="103" t="s">
        <v>234</v>
      </c>
      <c r="F57" s="104" t="s">
        <v>240</v>
      </c>
      <c r="G57" s="106" t="s">
        <v>245</v>
      </c>
      <c r="H57" s="106" t="s">
        <v>289</v>
      </c>
      <c r="I57" s="106" t="s">
        <v>254</v>
      </c>
      <c r="J57" s="16" t="s">
        <v>260</v>
      </c>
      <c r="K57" s="16" t="s">
        <v>267</v>
      </c>
      <c r="L57" s="16" t="s">
        <v>275</v>
      </c>
      <c r="M57" s="16" t="s">
        <v>280</v>
      </c>
      <c r="N57" s="16" t="s">
        <v>293</v>
      </c>
    </row>
    <row r="58" spans="1:14" x14ac:dyDescent="0.25">
      <c r="A58" s="93">
        <v>43</v>
      </c>
      <c r="B58" s="89" t="s">
        <v>211</v>
      </c>
      <c r="C58" s="103" t="s">
        <v>219</v>
      </c>
      <c r="D58" s="103" t="s">
        <v>228</v>
      </c>
      <c r="E58" s="103" t="s">
        <v>234</v>
      </c>
      <c r="F58" s="104" t="s">
        <v>240</v>
      </c>
      <c r="G58" s="106" t="s">
        <v>245</v>
      </c>
      <c r="H58" s="106" t="s">
        <v>289</v>
      </c>
      <c r="I58" s="106" t="s">
        <v>254</v>
      </c>
      <c r="J58" s="16" t="s">
        <v>260</v>
      </c>
      <c r="K58" s="16" t="s">
        <v>267</v>
      </c>
      <c r="L58" s="16" t="s">
        <v>275</v>
      </c>
      <c r="M58" s="16" t="s">
        <v>280</v>
      </c>
      <c r="N58" s="16" t="s">
        <v>293</v>
      </c>
    </row>
    <row r="59" spans="1:14" x14ac:dyDescent="0.25">
      <c r="A59" s="93">
        <v>42</v>
      </c>
      <c r="B59" s="89" t="s">
        <v>211</v>
      </c>
      <c r="C59" s="103" t="s">
        <v>219</v>
      </c>
      <c r="D59" s="103" t="s">
        <v>228</v>
      </c>
      <c r="E59" s="103" t="s">
        <v>234</v>
      </c>
      <c r="F59" s="104" t="s">
        <v>240</v>
      </c>
      <c r="G59" s="106" t="s">
        <v>245</v>
      </c>
      <c r="H59" s="106" t="s">
        <v>289</v>
      </c>
      <c r="I59" s="106" t="s">
        <v>254</v>
      </c>
      <c r="J59" s="16" t="s">
        <v>260</v>
      </c>
      <c r="K59" s="16" t="s">
        <v>267</v>
      </c>
      <c r="L59" s="16" t="s">
        <v>275</v>
      </c>
      <c r="M59" s="16" t="s">
        <v>280</v>
      </c>
      <c r="N59" s="16" t="s">
        <v>293</v>
      </c>
    </row>
    <row r="60" spans="1:14" x14ac:dyDescent="0.25">
      <c r="A60" s="93">
        <v>41</v>
      </c>
      <c r="B60" s="89" t="s">
        <v>211</v>
      </c>
      <c r="C60" s="103" t="s">
        <v>219</v>
      </c>
      <c r="D60" s="103" t="s">
        <v>228</v>
      </c>
      <c r="E60" s="103" t="s">
        <v>234</v>
      </c>
      <c r="F60" s="104" t="s">
        <v>240</v>
      </c>
      <c r="G60" s="106" t="s">
        <v>245</v>
      </c>
      <c r="H60" s="106" t="s">
        <v>289</v>
      </c>
      <c r="I60" s="106" t="s">
        <v>254</v>
      </c>
      <c r="J60" s="16" t="s">
        <v>260</v>
      </c>
      <c r="K60" s="16" t="s">
        <v>267</v>
      </c>
      <c r="L60" s="16" t="s">
        <v>275</v>
      </c>
      <c r="M60" s="16" t="s">
        <v>280</v>
      </c>
      <c r="N60" s="16" t="s">
        <v>293</v>
      </c>
    </row>
    <row r="61" spans="1:14" x14ac:dyDescent="0.25">
      <c r="A61" s="93">
        <v>40</v>
      </c>
      <c r="B61" s="89" t="s">
        <v>211</v>
      </c>
      <c r="C61" s="103" t="s">
        <v>219</v>
      </c>
      <c r="D61" s="103" t="s">
        <v>228</v>
      </c>
      <c r="E61" s="103" t="s">
        <v>234</v>
      </c>
      <c r="F61" s="104" t="s">
        <v>240</v>
      </c>
      <c r="G61" s="106" t="s">
        <v>245</v>
      </c>
      <c r="H61" s="106" t="s">
        <v>289</v>
      </c>
      <c r="I61" s="106" t="s">
        <v>254</v>
      </c>
      <c r="J61" s="16" t="s">
        <v>260</v>
      </c>
      <c r="K61" s="16" t="s">
        <v>267</v>
      </c>
      <c r="L61" s="16" t="s">
        <v>275</v>
      </c>
      <c r="M61" s="16" t="s">
        <v>280</v>
      </c>
      <c r="N61" s="16" t="s">
        <v>293</v>
      </c>
    </row>
    <row r="62" spans="1:14" x14ac:dyDescent="0.25">
      <c r="A62" s="93">
        <v>39</v>
      </c>
      <c r="B62" s="89" t="s">
        <v>212</v>
      </c>
      <c r="C62" s="103" t="s">
        <v>219</v>
      </c>
      <c r="D62" s="103" t="s">
        <v>228</v>
      </c>
      <c r="E62" s="103" t="s">
        <v>234</v>
      </c>
      <c r="F62" s="104" t="s">
        <v>240</v>
      </c>
      <c r="G62" s="106" t="s">
        <v>245</v>
      </c>
      <c r="H62" s="106" t="s">
        <v>289</v>
      </c>
      <c r="I62" s="106" t="s">
        <v>254</v>
      </c>
      <c r="J62" s="16" t="s">
        <v>260</v>
      </c>
      <c r="K62" s="16" t="s">
        <v>267</v>
      </c>
      <c r="L62" s="16" t="s">
        <v>275</v>
      </c>
      <c r="M62" s="16" t="s">
        <v>280</v>
      </c>
      <c r="N62" s="16" t="s">
        <v>293</v>
      </c>
    </row>
    <row r="63" spans="1:14" x14ac:dyDescent="0.25">
      <c r="A63" s="93">
        <v>38</v>
      </c>
      <c r="B63" s="89" t="s">
        <v>212</v>
      </c>
      <c r="C63" s="103" t="s">
        <v>219</v>
      </c>
      <c r="D63" s="103" t="s">
        <v>228</v>
      </c>
      <c r="E63" s="103" t="s">
        <v>234</v>
      </c>
      <c r="F63" s="104" t="s">
        <v>240</v>
      </c>
      <c r="G63" s="106" t="s">
        <v>245</v>
      </c>
      <c r="H63" s="106" t="s">
        <v>289</v>
      </c>
      <c r="I63" s="106" t="s">
        <v>254</v>
      </c>
      <c r="J63" s="16" t="s">
        <v>260</v>
      </c>
      <c r="K63" s="16" t="s">
        <v>267</v>
      </c>
      <c r="L63" s="16" t="s">
        <v>275</v>
      </c>
      <c r="M63" s="16" t="s">
        <v>280</v>
      </c>
      <c r="N63" s="16" t="s">
        <v>293</v>
      </c>
    </row>
    <row r="64" spans="1:14" x14ac:dyDescent="0.25">
      <c r="A64" s="93">
        <v>37</v>
      </c>
      <c r="B64" s="89" t="s">
        <v>212</v>
      </c>
      <c r="C64" s="103" t="s">
        <v>219</v>
      </c>
      <c r="D64" s="103" t="s">
        <v>228</v>
      </c>
      <c r="E64" s="103" t="s">
        <v>234</v>
      </c>
      <c r="F64" s="104" t="s">
        <v>240</v>
      </c>
      <c r="G64" s="106" t="s">
        <v>245</v>
      </c>
      <c r="H64" s="106" t="s">
        <v>289</v>
      </c>
      <c r="I64" s="106" t="s">
        <v>254</v>
      </c>
      <c r="J64" s="16" t="s">
        <v>260</v>
      </c>
      <c r="K64" s="16" t="s">
        <v>267</v>
      </c>
      <c r="L64" s="16" t="s">
        <v>275</v>
      </c>
      <c r="M64" s="16" t="s">
        <v>280</v>
      </c>
      <c r="N64" s="16" t="s">
        <v>293</v>
      </c>
    </row>
    <row r="65" spans="1:38" x14ac:dyDescent="0.25">
      <c r="A65" s="93">
        <v>36</v>
      </c>
      <c r="B65" s="89" t="s">
        <v>212</v>
      </c>
      <c r="C65" s="103" t="s">
        <v>219</v>
      </c>
      <c r="D65" s="103" t="s">
        <v>228</v>
      </c>
      <c r="E65" s="103" t="s">
        <v>234</v>
      </c>
      <c r="F65" s="104" t="s">
        <v>240</v>
      </c>
      <c r="G65" s="106" t="s">
        <v>245</v>
      </c>
      <c r="H65" s="106" t="s">
        <v>289</v>
      </c>
      <c r="I65" s="106" t="s">
        <v>254</v>
      </c>
      <c r="J65" s="16" t="s">
        <v>260</v>
      </c>
      <c r="K65" s="16" t="s">
        <v>267</v>
      </c>
      <c r="L65" s="16" t="s">
        <v>275</v>
      </c>
      <c r="M65" s="16" t="s">
        <v>280</v>
      </c>
      <c r="N65" s="16" t="s">
        <v>293</v>
      </c>
    </row>
    <row r="66" spans="1:38" x14ac:dyDescent="0.25">
      <c r="A66" s="93">
        <v>35</v>
      </c>
      <c r="B66" s="89" t="s">
        <v>212</v>
      </c>
      <c r="C66" s="103" t="s">
        <v>220</v>
      </c>
      <c r="D66" s="103" t="s">
        <v>228</v>
      </c>
      <c r="E66" s="103" t="s">
        <v>234</v>
      </c>
      <c r="F66" s="104" t="s">
        <v>240</v>
      </c>
      <c r="G66" s="106" t="s">
        <v>245</v>
      </c>
      <c r="H66" s="106" t="s">
        <v>289</v>
      </c>
      <c r="I66" s="106" t="s">
        <v>254</v>
      </c>
      <c r="J66" s="16" t="s">
        <v>260</v>
      </c>
      <c r="K66" s="16" t="s">
        <v>267</v>
      </c>
      <c r="L66" s="16" t="s">
        <v>275</v>
      </c>
      <c r="M66" s="16" t="s">
        <v>280</v>
      </c>
      <c r="N66" s="16" t="s">
        <v>293</v>
      </c>
    </row>
    <row r="67" spans="1:38" x14ac:dyDescent="0.25">
      <c r="A67" s="93">
        <v>34</v>
      </c>
      <c r="B67" s="89" t="s">
        <v>212</v>
      </c>
      <c r="C67" s="103" t="s">
        <v>220</v>
      </c>
      <c r="D67" s="103" t="s">
        <v>228</v>
      </c>
      <c r="E67" s="103" t="s">
        <v>234</v>
      </c>
      <c r="F67" s="104" t="s">
        <v>240</v>
      </c>
      <c r="G67" s="106" t="s">
        <v>245</v>
      </c>
      <c r="H67" s="106" t="s">
        <v>289</v>
      </c>
      <c r="I67" s="106" t="s">
        <v>254</v>
      </c>
      <c r="J67" s="16" t="s">
        <v>260</v>
      </c>
      <c r="K67" s="16" t="s">
        <v>267</v>
      </c>
      <c r="L67" s="16" t="s">
        <v>275</v>
      </c>
      <c r="M67" s="16" t="s">
        <v>280</v>
      </c>
      <c r="N67" s="16" t="s">
        <v>293</v>
      </c>
    </row>
    <row r="68" spans="1:38" x14ac:dyDescent="0.25">
      <c r="A68" s="93">
        <v>33</v>
      </c>
      <c r="B68" s="89" t="s">
        <v>212</v>
      </c>
      <c r="C68" s="103" t="s">
        <v>220</v>
      </c>
      <c r="D68" s="103" t="s">
        <v>228</v>
      </c>
      <c r="E68" s="103" t="s">
        <v>234</v>
      </c>
      <c r="F68" s="104" t="s">
        <v>240</v>
      </c>
      <c r="G68" s="106" t="s">
        <v>245</v>
      </c>
      <c r="H68" s="106" t="s">
        <v>289</v>
      </c>
      <c r="I68" s="106" t="s">
        <v>254</v>
      </c>
      <c r="J68" s="16" t="s">
        <v>260</v>
      </c>
      <c r="K68" s="16" t="s">
        <v>267</v>
      </c>
      <c r="L68" s="16" t="s">
        <v>275</v>
      </c>
      <c r="M68" s="16" t="s">
        <v>280</v>
      </c>
      <c r="N68" s="16" t="s">
        <v>293</v>
      </c>
    </row>
    <row r="69" spans="1:38" x14ac:dyDescent="0.25">
      <c r="A69" s="93">
        <v>32</v>
      </c>
      <c r="B69" s="89" t="s">
        <v>212</v>
      </c>
      <c r="C69" s="103" t="s">
        <v>220</v>
      </c>
      <c r="D69" s="103" t="s">
        <v>228</v>
      </c>
      <c r="E69" s="103" t="s">
        <v>234</v>
      </c>
      <c r="F69" s="104" t="s">
        <v>240</v>
      </c>
      <c r="G69" s="106" t="s">
        <v>245</v>
      </c>
      <c r="H69" s="106" t="s">
        <v>289</v>
      </c>
      <c r="I69" s="106" t="s">
        <v>254</v>
      </c>
      <c r="J69" s="16" t="s">
        <v>260</v>
      </c>
      <c r="K69" s="16" t="s">
        <v>267</v>
      </c>
      <c r="L69" s="16" t="s">
        <v>275</v>
      </c>
      <c r="M69" s="16" t="s">
        <v>280</v>
      </c>
      <c r="N69" s="16" t="s">
        <v>293</v>
      </c>
    </row>
    <row r="70" spans="1:38" s="96" customFormat="1" x14ac:dyDescent="0.25">
      <c r="A70" s="99">
        <v>31</v>
      </c>
      <c r="B70" s="89" t="s">
        <v>212</v>
      </c>
      <c r="C70" s="96" t="s">
        <v>220</v>
      </c>
      <c r="D70" s="96" t="s">
        <v>228</v>
      </c>
      <c r="E70" s="96" t="s">
        <v>234</v>
      </c>
      <c r="F70" s="104" t="s">
        <v>240</v>
      </c>
      <c r="G70" s="106" t="s">
        <v>245</v>
      </c>
      <c r="H70" s="106" t="s">
        <v>289</v>
      </c>
      <c r="I70" s="106" t="s">
        <v>254</v>
      </c>
      <c r="J70" s="16" t="s">
        <v>260</v>
      </c>
      <c r="K70" s="16" t="s">
        <v>267</v>
      </c>
      <c r="L70" s="16" t="s">
        <v>275</v>
      </c>
      <c r="M70" s="16" t="s">
        <v>280</v>
      </c>
      <c r="N70" s="16" t="s">
        <v>293</v>
      </c>
      <c r="Y70" s="105"/>
      <c r="AL70" s="105"/>
    </row>
    <row r="71" spans="1:38" x14ac:dyDescent="0.25">
      <c r="A71" s="94">
        <v>30</v>
      </c>
      <c r="B71" s="89" t="s">
        <v>212</v>
      </c>
      <c r="C71" s="103" t="s">
        <v>220</v>
      </c>
      <c r="D71" s="96" t="s">
        <v>228</v>
      </c>
      <c r="E71" s="96" t="s">
        <v>234</v>
      </c>
      <c r="F71" s="104" t="s">
        <v>240</v>
      </c>
      <c r="G71" s="106" t="s">
        <v>245</v>
      </c>
      <c r="H71" s="106" t="s">
        <v>289</v>
      </c>
      <c r="I71" s="106" t="s">
        <v>254</v>
      </c>
      <c r="J71" s="16" t="s">
        <v>260</v>
      </c>
      <c r="K71" s="16" t="s">
        <v>267</v>
      </c>
      <c r="L71" s="16" t="s">
        <v>275</v>
      </c>
      <c r="M71" s="16" t="s">
        <v>280</v>
      </c>
      <c r="N71" s="16" t="s">
        <v>293</v>
      </c>
    </row>
    <row r="72" spans="1:38" x14ac:dyDescent="0.25">
      <c r="A72" s="94">
        <v>29</v>
      </c>
      <c r="B72" s="89" t="s">
        <v>213</v>
      </c>
      <c r="C72" s="103" t="s">
        <v>220</v>
      </c>
      <c r="D72" s="103" t="s">
        <v>229</v>
      </c>
      <c r="E72" s="103" t="s">
        <v>235</v>
      </c>
      <c r="F72" s="104" t="s">
        <v>241</v>
      </c>
      <c r="G72" s="106" t="s">
        <v>246</v>
      </c>
      <c r="H72" s="106" t="s">
        <v>290</v>
      </c>
      <c r="I72" s="106" t="s">
        <v>255</v>
      </c>
      <c r="J72" s="16" t="s">
        <v>261</v>
      </c>
      <c r="K72" s="16" t="s">
        <v>265</v>
      </c>
      <c r="L72" s="16" t="s">
        <v>276</v>
      </c>
      <c r="M72" s="16" t="s">
        <v>281</v>
      </c>
      <c r="N72" s="16" t="s">
        <v>293</v>
      </c>
    </row>
    <row r="73" spans="1:38" x14ac:dyDescent="0.25">
      <c r="A73" s="94">
        <v>28</v>
      </c>
      <c r="B73" s="89" t="s">
        <v>213</v>
      </c>
      <c r="C73" s="103" t="s">
        <v>220</v>
      </c>
      <c r="D73" s="103" t="s">
        <v>229</v>
      </c>
      <c r="E73" s="103" t="s">
        <v>235</v>
      </c>
      <c r="F73" s="104" t="s">
        <v>241</v>
      </c>
      <c r="G73" s="106" t="s">
        <v>246</v>
      </c>
      <c r="H73" s="106" t="s">
        <v>290</v>
      </c>
      <c r="I73" s="106" t="s">
        <v>255</v>
      </c>
      <c r="J73" s="16" t="s">
        <v>261</v>
      </c>
      <c r="K73" s="16" t="s">
        <v>265</v>
      </c>
      <c r="L73" s="16" t="s">
        <v>276</v>
      </c>
      <c r="M73" s="16" t="s">
        <v>281</v>
      </c>
      <c r="N73" s="16" t="s">
        <v>293</v>
      </c>
    </row>
    <row r="74" spans="1:38" x14ac:dyDescent="0.25">
      <c r="A74" s="94">
        <v>27</v>
      </c>
      <c r="B74" s="89" t="s">
        <v>213</v>
      </c>
      <c r="C74" s="103" t="s">
        <v>220</v>
      </c>
      <c r="D74" s="103" t="s">
        <v>229</v>
      </c>
      <c r="E74" s="103" t="s">
        <v>235</v>
      </c>
      <c r="F74" s="104" t="s">
        <v>241</v>
      </c>
      <c r="G74" s="106" t="s">
        <v>246</v>
      </c>
      <c r="H74" s="106" t="s">
        <v>290</v>
      </c>
      <c r="I74" s="106" t="s">
        <v>255</v>
      </c>
      <c r="J74" s="16" t="s">
        <v>261</v>
      </c>
      <c r="K74" s="16" t="s">
        <v>265</v>
      </c>
      <c r="L74" s="16" t="s">
        <v>276</v>
      </c>
      <c r="M74" s="16" t="s">
        <v>281</v>
      </c>
      <c r="N74" s="16" t="s">
        <v>293</v>
      </c>
    </row>
    <row r="75" spans="1:38" x14ac:dyDescent="0.25">
      <c r="A75" s="94">
        <v>26</v>
      </c>
      <c r="B75" s="89" t="s">
        <v>213</v>
      </c>
      <c r="C75" s="103" t="s">
        <v>220</v>
      </c>
      <c r="D75" s="103" t="s">
        <v>229</v>
      </c>
      <c r="E75" s="103" t="s">
        <v>235</v>
      </c>
      <c r="F75" s="104" t="s">
        <v>241</v>
      </c>
      <c r="G75" s="106" t="s">
        <v>246</v>
      </c>
      <c r="H75" s="106" t="s">
        <v>290</v>
      </c>
      <c r="I75" s="106" t="s">
        <v>255</v>
      </c>
      <c r="J75" s="16" t="s">
        <v>261</v>
      </c>
      <c r="K75" s="16" t="s">
        <v>265</v>
      </c>
      <c r="L75" s="16" t="s">
        <v>276</v>
      </c>
      <c r="M75" s="16" t="s">
        <v>281</v>
      </c>
      <c r="N75" s="16" t="s">
        <v>293</v>
      </c>
    </row>
    <row r="76" spans="1:38" x14ac:dyDescent="0.25">
      <c r="A76" s="94">
        <v>25</v>
      </c>
      <c r="B76" s="89" t="s">
        <v>213</v>
      </c>
      <c r="C76" s="103" t="s">
        <v>220</v>
      </c>
      <c r="D76" s="103" t="s">
        <v>229</v>
      </c>
      <c r="E76" s="103" t="s">
        <v>235</v>
      </c>
      <c r="F76" s="104" t="s">
        <v>241</v>
      </c>
      <c r="G76" s="106" t="s">
        <v>246</v>
      </c>
      <c r="H76" s="106" t="s">
        <v>290</v>
      </c>
      <c r="I76" s="106" t="s">
        <v>255</v>
      </c>
      <c r="J76" s="16" t="s">
        <v>261</v>
      </c>
      <c r="K76" s="16" t="s">
        <v>265</v>
      </c>
      <c r="L76" s="16" t="s">
        <v>276</v>
      </c>
      <c r="M76" s="16" t="s">
        <v>281</v>
      </c>
      <c r="N76" s="16" t="s">
        <v>293</v>
      </c>
    </row>
    <row r="77" spans="1:38" x14ac:dyDescent="0.25">
      <c r="A77" s="94">
        <v>24</v>
      </c>
      <c r="B77" s="89" t="s">
        <v>213</v>
      </c>
      <c r="C77" s="103" t="s">
        <v>221</v>
      </c>
      <c r="D77" s="103" t="s">
        <v>229</v>
      </c>
      <c r="E77" s="103" t="s">
        <v>235</v>
      </c>
      <c r="F77" s="104" t="s">
        <v>241</v>
      </c>
      <c r="G77" s="106" t="s">
        <v>246</v>
      </c>
      <c r="H77" s="106" t="s">
        <v>290</v>
      </c>
      <c r="I77" s="106" t="s">
        <v>255</v>
      </c>
      <c r="J77" s="16" t="s">
        <v>261</v>
      </c>
      <c r="K77" s="16" t="s">
        <v>265</v>
      </c>
      <c r="L77" s="16" t="s">
        <v>276</v>
      </c>
      <c r="M77" s="16" t="s">
        <v>281</v>
      </c>
      <c r="N77" s="16" t="s">
        <v>293</v>
      </c>
    </row>
    <row r="78" spans="1:38" x14ac:dyDescent="0.25">
      <c r="A78" s="94">
        <v>23</v>
      </c>
      <c r="B78" s="89" t="s">
        <v>213</v>
      </c>
      <c r="C78" s="103" t="s">
        <v>221</v>
      </c>
      <c r="D78" s="103" t="s">
        <v>229</v>
      </c>
      <c r="E78" s="103" t="s">
        <v>235</v>
      </c>
      <c r="F78" s="104" t="s">
        <v>241</v>
      </c>
      <c r="G78" s="106" t="s">
        <v>246</v>
      </c>
      <c r="H78" s="106" t="s">
        <v>290</v>
      </c>
      <c r="I78" s="106" t="s">
        <v>255</v>
      </c>
      <c r="J78" s="16" t="s">
        <v>261</v>
      </c>
      <c r="K78" s="16" t="s">
        <v>265</v>
      </c>
      <c r="L78" s="16" t="s">
        <v>276</v>
      </c>
      <c r="M78" s="16" t="s">
        <v>281</v>
      </c>
      <c r="N78" s="16" t="s">
        <v>293</v>
      </c>
    </row>
    <row r="79" spans="1:38" x14ac:dyDescent="0.25">
      <c r="A79" s="94">
        <v>22</v>
      </c>
      <c r="B79" s="89" t="s">
        <v>213</v>
      </c>
      <c r="C79" s="103" t="s">
        <v>221</v>
      </c>
      <c r="D79" s="103" t="s">
        <v>229</v>
      </c>
      <c r="E79" s="103" t="s">
        <v>235</v>
      </c>
      <c r="F79" s="104" t="s">
        <v>241</v>
      </c>
      <c r="G79" s="106" t="s">
        <v>246</v>
      </c>
      <c r="H79" s="106" t="s">
        <v>290</v>
      </c>
      <c r="I79" s="106" t="s">
        <v>255</v>
      </c>
      <c r="J79" s="16" t="s">
        <v>261</v>
      </c>
      <c r="K79" s="16" t="s">
        <v>265</v>
      </c>
      <c r="L79" s="16" t="s">
        <v>276</v>
      </c>
      <c r="M79" s="16" t="s">
        <v>281</v>
      </c>
      <c r="N79" s="16" t="s">
        <v>293</v>
      </c>
    </row>
    <row r="80" spans="1:38" x14ac:dyDescent="0.25">
      <c r="A80" s="94">
        <v>21</v>
      </c>
      <c r="B80" s="89" t="s">
        <v>213</v>
      </c>
      <c r="C80" s="103" t="s">
        <v>221</v>
      </c>
      <c r="D80" s="103" t="s">
        <v>229</v>
      </c>
      <c r="E80" s="103" t="s">
        <v>235</v>
      </c>
      <c r="F80" s="104" t="s">
        <v>241</v>
      </c>
      <c r="G80" s="106" t="s">
        <v>246</v>
      </c>
      <c r="H80" s="106" t="s">
        <v>290</v>
      </c>
      <c r="I80" s="106" t="s">
        <v>255</v>
      </c>
      <c r="J80" s="16" t="s">
        <v>261</v>
      </c>
      <c r="K80" s="16" t="s">
        <v>265</v>
      </c>
      <c r="L80" s="16" t="s">
        <v>276</v>
      </c>
      <c r="M80" s="16" t="s">
        <v>281</v>
      </c>
      <c r="N80" s="16" t="s">
        <v>293</v>
      </c>
    </row>
    <row r="81" spans="1:38" x14ac:dyDescent="0.25">
      <c r="A81" s="94">
        <v>20</v>
      </c>
      <c r="B81" s="89" t="s">
        <v>213</v>
      </c>
      <c r="C81" s="103" t="s">
        <v>221</v>
      </c>
      <c r="D81" s="103" t="s">
        <v>229</v>
      </c>
      <c r="E81" s="103" t="s">
        <v>235</v>
      </c>
      <c r="F81" s="104" t="s">
        <v>241</v>
      </c>
      <c r="G81" s="106" t="s">
        <v>246</v>
      </c>
      <c r="H81" s="106" t="s">
        <v>290</v>
      </c>
      <c r="I81" s="106" t="s">
        <v>255</v>
      </c>
      <c r="J81" s="16" t="s">
        <v>261</v>
      </c>
      <c r="K81" s="16" t="s">
        <v>265</v>
      </c>
      <c r="L81" s="16" t="s">
        <v>276</v>
      </c>
      <c r="M81" s="16" t="s">
        <v>281</v>
      </c>
      <c r="N81" s="16" t="s">
        <v>293</v>
      </c>
    </row>
    <row r="82" spans="1:38" x14ac:dyDescent="0.25">
      <c r="A82" s="94">
        <v>19</v>
      </c>
      <c r="B82" s="89" t="s">
        <v>213</v>
      </c>
      <c r="C82" s="103" t="s">
        <v>221</v>
      </c>
      <c r="D82" s="103" t="s">
        <v>229</v>
      </c>
      <c r="E82" s="103" t="s">
        <v>235</v>
      </c>
      <c r="F82" s="104" t="s">
        <v>241</v>
      </c>
      <c r="G82" s="106" t="s">
        <v>246</v>
      </c>
      <c r="H82" s="106" t="s">
        <v>290</v>
      </c>
      <c r="I82" s="106" t="s">
        <v>255</v>
      </c>
      <c r="J82" s="16" t="s">
        <v>261</v>
      </c>
      <c r="K82" s="16" t="s">
        <v>265</v>
      </c>
      <c r="L82" s="16" t="s">
        <v>276</v>
      </c>
      <c r="M82" s="16" t="s">
        <v>281</v>
      </c>
      <c r="N82" s="16" t="s">
        <v>293</v>
      </c>
    </row>
    <row r="83" spans="1:38" x14ac:dyDescent="0.25">
      <c r="A83" s="94">
        <v>18</v>
      </c>
      <c r="B83" s="89" t="s">
        <v>213</v>
      </c>
      <c r="C83" s="103" t="s">
        <v>221</v>
      </c>
      <c r="D83" s="103" t="s">
        <v>229</v>
      </c>
      <c r="E83" s="103" t="s">
        <v>235</v>
      </c>
      <c r="F83" s="104" t="s">
        <v>241</v>
      </c>
      <c r="G83" s="106" t="s">
        <v>246</v>
      </c>
      <c r="H83" s="106" t="s">
        <v>290</v>
      </c>
      <c r="I83" s="106" t="s">
        <v>255</v>
      </c>
      <c r="J83" s="16" t="s">
        <v>261</v>
      </c>
      <c r="K83" s="16" t="s">
        <v>265</v>
      </c>
      <c r="L83" s="16" t="s">
        <v>276</v>
      </c>
      <c r="M83" s="16" t="s">
        <v>281</v>
      </c>
      <c r="N83" s="16" t="s">
        <v>293</v>
      </c>
    </row>
    <row r="84" spans="1:38" x14ac:dyDescent="0.25">
      <c r="A84" s="94">
        <v>17</v>
      </c>
      <c r="B84" s="89" t="s">
        <v>213</v>
      </c>
      <c r="C84" s="103" t="s">
        <v>221</v>
      </c>
      <c r="D84" s="103" t="s">
        <v>229</v>
      </c>
      <c r="E84" s="103" t="s">
        <v>235</v>
      </c>
      <c r="F84" s="104" t="s">
        <v>241</v>
      </c>
      <c r="G84" s="106" t="s">
        <v>246</v>
      </c>
      <c r="H84" s="106" t="s">
        <v>290</v>
      </c>
      <c r="I84" s="106" t="s">
        <v>255</v>
      </c>
      <c r="J84" s="16" t="s">
        <v>261</v>
      </c>
      <c r="K84" s="16" t="s">
        <v>265</v>
      </c>
      <c r="L84" s="16" t="s">
        <v>276</v>
      </c>
      <c r="M84" s="16" t="s">
        <v>281</v>
      </c>
      <c r="N84" s="16" t="s">
        <v>293</v>
      </c>
    </row>
    <row r="85" spans="1:38" x14ac:dyDescent="0.25">
      <c r="A85" s="94">
        <v>16</v>
      </c>
      <c r="B85" s="89" t="s">
        <v>213</v>
      </c>
      <c r="C85" s="103" t="s">
        <v>221</v>
      </c>
      <c r="D85" s="103" t="s">
        <v>229</v>
      </c>
      <c r="E85" s="103" t="s">
        <v>235</v>
      </c>
      <c r="F85" s="104" t="s">
        <v>241</v>
      </c>
      <c r="G85" s="106" t="s">
        <v>246</v>
      </c>
      <c r="H85" s="106" t="s">
        <v>290</v>
      </c>
      <c r="I85" s="106" t="s">
        <v>255</v>
      </c>
      <c r="J85" s="16" t="s">
        <v>261</v>
      </c>
      <c r="K85" s="16" t="s">
        <v>265</v>
      </c>
      <c r="L85" s="16" t="s">
        <v>276</v>
      </c>
      <c r="M85" s="16" t="s">
        <v>281</v>
      </c>
      <c r="N85" s="16" t="s">
        <v>293</v>
      </c>
    </row>
    <row r="86" spans="1:38" x14ac:dyDescent="0.25">
      <c r="A86" s="94">
        <v>15</v>
      </c>
      <c r="B86" s="89" t="s">
        <v>213</v>
      </c>
      <c r="C86" s="103" t="s">
        <v>221</v>
      </c>
      <c r="D86" s="103" t="s">
        <v>229</v>
      </c>
      <c r="E86" s="103" t="s">
        <v>235</v>
      </c>
      <c r="F86" s="104" t="s">
        <v>241</v>
      </c>
      <c r="G86" s="106" t="s">
        <v>246</v>
      </c>
      <c r="H86" s="106" t="s">
        <v>290</v>
      </c>
      <c r="I86" s="106" t="s">
        <v>255</v>
      </c>
      <c r="J86" s="16" t="s">
        <v>261</v>
      </c>
      <c r="K86" s="16" t="s">
        <v>265</v>
      </c>
      <c r="L86" s="16" t="s">
        <v>276</v>
      </c>
      <c r="M86" s="16" t="s">
        <v>281</v>
      </c>
      <c r="N86" s="16" t="s">
        <v>284</v>
      </c>
    </row>
    <row r="87" spans="1:38" x14ac:dyDescent="0.25">
      <c r="A87" s="94">
        <v>14</v>
      </c>
      <c r="B87" s="89" t="s">
        <v>213</v>
      </c>
      <c r="C87" s="103" t="s">
        <v>221</v>
      </c>
      <c r="D87" s="103" t="s">
        <v>229</v>
      </c>
      <c r="E87" s="103" t="s">
        <v>235</v>
      </c>
      <c r="F87" s="104" t="s">
        <v>241</v>
      </c>
      <c r="G87" s="106" t="s">
        <v>246</v>
      </c>
      <c r="H87" s="106" t="s">
        <v>290</v>
      </c>
      <c r="I87" s="106" t="s">
        <v>255</v>
      </c>
      <c r="J87" s="16" t="s">
        <v>261</v>
      </c>
      <c r="K87" s="16" t="s">
        <v>265</v>
      </c>
      <c r="L87" s="16" t="s">
        <v>276</v>
      </c>
      <c r="M87" s="16" t="s">
        <v>281</v>
      </c>
      <c r="N87" s="16" t="s">
        <v>284</v>
      </c>
    </row>
    <row r="88" spans="1:38" x14ac:dyDescent="0.25">
      <c r="A88" s="94">
        <v>13</v>
      </c>
      <c r="B88" s="89" t="s">
        <v>213</v>
      </c>
      <c r="C88" s="103" t="s">
        <v>221</v>
      </c>
      <c r="D88" s="103" t="s">
        <v>229</v>
      </c>
      <c r="E88" s="103" t="s">
        <v>235</v>
      </c>
      <c r="F88" s="104" t="s">
        <v>241</v>
      </c>
      <c r="G88" s="106" t="s">
        <v>246</v>
      </c>
      <c r="H88" s="106" t="s">
        <v>290</v>
      </c>
      <c r="I88" s="106" t="s">
        <v>255</v>
      </c>
      <c r="J88" s="16" t="s">
        <v>261</v>
      </c>
      <c r="K88" s="16" t="s">
        <v>265</v>
      </c>
      <c r="L88" s="16" t="s">
        <v>276</v>
      </c>
      <c r="M88" s="16" t="s">
        <v>281</v>
      </c>
      <c r="N88" s="16" t="s">
        <v>284</v>
      </c>
    </row>
    <row r="89" spans="1:38" x14ac:dyDescent="0.25">
      <c r="A89" s="94">
        <v>12</v>
      </c>
      <c r="B89" s="89" t="s">
        <v>213</v>
      </c>
      <c r="C89" s="103" t="s">
        <v>221</v>
      </c>
      <c r="D89" s="103" t="s">
        <v>229</v>
      </c>
      <c r="E89" s="103" t="s">
        <v>235</v>
      </c>
      <c r="F89" s="104" t="s">
        <v>241</v>
      </c>
      <c r="G89" s="106" t="s">
        <v>246</v>
      </c>
      <c r="H89" s="106" t="s">
        <v>290</v>
      </c>
      <c r="I89" s="106" t="s">
        <v>255</v>
      </c>
      <c r="J89" s="16" t="s">
        <v>261</v>
      </c>
      <c r="K89" s="16" t="s">
        <v>265</v>
      </c>
      <c r="L89" s="16" t="s">
        <v>276</v>
      </c>
      <c r="M89" s="16" t="s">
        <v>281</v>
      </c>
      <c r="N89" s="16" t="s">
        <v>284</v>
      </c>
    </row>
    <row r="90" spans="1:38" x14ac:dyDescent="0.25">
      <c r="A90" s="94">
        <v>11</v>
      </c>
      <c r="B90" s="89" t="s">
        <v>213</v>
      </c>
      <c r="C90" s="103" t="s">
        <v>221</v>
      </c>
      <c r="D90" s="103" t="s">
        <v>229</v>
      </c>
      <c r="E90" s="103" t="s">
        <v>235</v>
      </c>
      <c r="F90" s="104" t="s">
        <v>241</v>
      </c>
      <c r="G90" s="106" t="s">
        <v>246</v>
      </c>
      <c r="H90" s="106" t="s">
        <v>290</v>
      </c>
      <c r="I90" s="106" t="s">
        <v>255</v>
      </c>
      <c r="J90" s="16" t="s">
        <v>261</v>
      </c>
      <c r="K90" s="16" t="s">
        <v>265</v>
      </c>
      <c r="L90" s="16" t="s">
        <v>276</v>
      </c>
      <c r="M90" s="16" t="s">
        <v>281</v>
      </c>
      <c r="N90" s="16" t="s">
        <v>284</v>
      </c>
    </row>
    <row r="91" spans="1:38" x14ac:dyDescent="0.25">
      <c r="A91" s="94">
        <v>10</v>
      </c>
      <c r="B91" s="107" t="s">
        <v>213</v>
      </c>
      <c r="C91" s="103" t="s">
        <v>221</v>
      </c>
      <c r="D91" s="103" t="s">
        <v>229</v>
      </c>
      <c r="E91" s="103" t="s">
        <v>235</v>
      </c>
      <c r="F91" s="104" t="s">
        <v>241</v>
      </c>
      <c r="G91" s="106" t="s">
        <v>246</v>
      </c>
      <c r="H91" s="106" t="s">
        <v>290</v>
      </c>
      <c r="I91" s="106" t="s">
        <v>255</v>
      </c>
      <c r="J91" s="16" t="s">
        <v>261</v>
      </c>
      <c r="K91" s="16" t="s">
        <v>265</v>
      </c>
      <c r="L91" s="16" t="s">
        <v>276</v>
      </c>
      <c r="M91" s="16" t="s">
        <v>281</v>
      </c>
      <c r="N91" s="16" t="s">
        <v>284</v>
      </c>
    </row>
    <row r="92" spans="1:38" s="103" customFormat="1" x14ac:dyDescent="0.25">
      <c r="A92" s="108">
        <v>9</v>
      </c>
      <c r="B92" s="103" t="s">
        <v>213</v>
      </c>
      <c r="C92" s="103" t="s">
        <v>221</v>
      </c>
      <c r="D92" s="103" t="s">
        <v>229</v>
      </c>
      <c r="E92" s="103" t="s">
        <v>235</v>
      </c>
      <c r="F92" s="103" t="s">
        <v>241</v>
      </c>
      <c r="G92" s="106" t="s">
        <v>246</v>
      </c>
      <c r="H92" s="106" t="s">
        <v>290</v>
      </c>
      <c r="I92" s="106" t="s">
        <v>255</v>
      </c>
      <c r="J92" s="16" t="s">
        <v>261</v>
      </c>
      <c r="K92" s="16" t="s">
        <v>265</v>
      </c>
      <c r="L92" s="16" t="s">
        <v>276</v>
      </c>
      <c r="M92" s="16" t="s">
        <v>281</v>
      </c>
      <c r="N92" s="16" t="s">
        <v>284</v>
      </c>
    </row>
    <row r="93" spans="1:38" s="109" customFormat="1" x14ac:dyDescent="0.25">
      <c r="A93" s="102">
        <v>8</v>
      </c>
      <c r="B93" s="101" t="s">
        <v>213</v>
      </c>
      <c r="C93" s="109" t="s">
        <v>221</v>
      </c>
      <c r="D93" s="109" t="s">
        <v>229</v>
      </c>
      <c r="E93" s="109" t="s">
        <v>235</v>
      </c>
      <c r="F93" s="105" t="s">
        <v>241</v>
      </c>
      <c r="G93" s="106" t="s">
        <v>246</v>
      </c>
      <c r="H93" s="106" t="s">
        <v>290</v>
      </c>
      <c r="I93" s="106" t="s">
        <v>255</v>
      </c>
      <c r="J93" s="16" t="s">
        <v>261</v>
      </c>
      <c r="K93" s="16" t="s">
        <v>265</v>
      </c>
      <c r="L93" s="16" t="s">
        <v>276</v>
      </c>
      <c r="M93" s="16" t="s">
        <v>281</v>
      </c>
      <c r="N93" s="16" t="s">
        <v>284</v>
      </c>
      <c r="Y93" s="110"/>
      <c r="AL93" s="110"/>
    </row>
    <row r="94" spans="1:38" x14ac:dyDescent="0.25">
      <c r="A94" s="92">
        <v>7</v>
      </c>
      <c r="B94" s="97" t="s">
        <v>214</v>
      </c>
      <c r="C94" s="103" t="s">
        <v>222</v>
      </c>
      <c r="D94" s="103" t="s">
        <v>230</v>
      </c>
      <c r="E94" s="103" t="s">
        <v>236</v>
      </c>
      <c r="F94" s="105" t="s">
        <v>242</v>
      </c>
      <c r="G94" s="106" t="s">
        <v>247</v>
      </c>
      <c r="H94" s="106" t="s">
        <v>291</v>
      </c>
      <c r="I94" s="106" t="s">
        <v>256</v>
      </c>
      <c r="J94" s="16" t="s">
        <v>262</v>
      </c>
      <c r="K94" s="16" t="s">
        <v>266</v>
      </c>
      <c r="L94" s="16" t="s">
        <v>277</v>
      </c>
      <c r="M94" s="16" t="s">
        <v>282</v>
      </c>
      <c r="N94" s="16" t="s">
        <v>284</v>
      </c>
    </row>
    <row r="95" spans="1:38" x14ac:dyDescent="0.25">
      <c r="A95" s="92">
        <v>6</v>
      </c>
      <c r="B95" s="89" t="s">
        <v>214</v>
      </c>
      <c r="C95" s="103" t="s">
        <v>222</v>
      </c>
      <c r="D95" s="103" t="s">
        <v>230</v>
      </c>
      <c r="E95" s="103" t="s">
        <v>236</v>
      </c>
      <c r="F95" s="104" t="s">
        <v>242</v>
      </c>
      <c r="G95" s="106" t="s">
        <v>247</v>
      </c>
      <c r="H95" s="106" t="s">
        <v>291</v>
      </c>
      <c r="I95" s="106" t="s">
        <v>256</v>
      </c>
      <c r="J95" s="16" t="s">
        <v>262</v>
      </c>
      <c r="K95" s="16" t="s">
        <v>266</v>
      </c>
      <c r="L95" s="16" t="s">
        <v>277</v>
      </c>
      <c r="M95" s="16" t="s">
        <v>282</v>
      </c>
      <c r="N95" s="16" t="s">
        <v>284</v>
      </c>
    </row>
    <row r="96" spans="1:38" x14ac:dyDescent="0.25">
      <c r="A96" s="92">
        <v>5</v>
      </c>
      <c r="B96" s="89" t="s">
        <v>214</v>
      </c>
      <c r="C96" s="103" t="s">
        <v>222</v>
      </c>
      <c r="D96" s="103" t="s">
        <v>230</v>
      </c>
      <c r="E96" s="103" t="s">
        <v>236</v>
      </c>
      <c r="F96" s="104" t="s">
        <v>242</v>
      </c>
      <c r="G96" s="106" t="s">
        <v>247</v>
      </c>
      <c r="H96" s="106" t="s">
        <v>291</v>
      </c>
      <c r="I96" s="106" t="s">
        <v>256</v>
      </c>
      <c r="J96" s="16" t="s">
        <v>262</v>
      </c>
      <c r="K96" s="16" t="s">
        <v>266</v>
      </c>
      <c r="L96" s="16" t="s">
        <v>277</v>
      </c>
      <c r="M96" s="16" t="s">
        <v>282</v>
      </c>
      <c r="N96" s="16" t="s">
        <v>284</v>
      </c>
    </row>
    <row r="97" spans="1:38" x14ac:dyDescent="0.25">
      <c r="A97" s="92">
        <v>4</v>
      </c>
      <c r="B97" s="89" t="s">
        <v>214</v>
      </c>
      <c r="C97" s="103" t="s">
        <v>222</v>
      </c>
      <c r="D97" s="103" t="s">
        <v>230</v>
      </c>
      <c r="E97" s="103" t="s">
        <v>236</v>
      </c>
      <c r="F97" s="104" t="s">
        <v>242</v>
      </c>
      <c r="G97" s="106" t="s">
        <v>247</v>
      </c>
      <c r="H97" s="106" t="s">
        <v>291</v>
      </c>
      <c r="I97" s="106" t="s">
        <v>256</v>
      </c>
      <c r="J97" s="16" t="s">
        <v>262</v>
      </c>
      <c r="K97" s="16" t="s">
        <v>266</v>
      </c>
      <c r="L97" s="16" t="s">
        <v>277</v>
      </c>
      <c r="M97" s="16" t="s">
        <v>282</v>
      </c>
      <c r="N97" s="16" t="s">
        <v>284</v>
      </c>
    </row>
    <row r="98" spans="1:38" x14ac:dyDescent="0.25">
      <c r="A98" s="92">
        <v>3</v>
      </c>
      <c r="B98" s="89" t="s">
        <v>214</v>
      </c>
      <c r="C98" s="103" t="s">
        <v>222</v>
      </c>
      <c r="D98" s="103" t="s">
        <v>230</v>
      </c>
      <c r="E98" s="103" t="s">
        <v>236</v>
      </c>
      <c r="F98" s="104" t="s">
        <v>242</v>
      </c>
      <c r="G98" s="106" t="s">
        <v>247</v>
      </c>
      <c r="H98" s="106" t="s">
        <v>291</v>
      </c>
      <c r="I98" s="106" t="s">
        <v>256</v>
      </c>
      <c r="J98" s="16" t="s">
        <v>262</v>
      </c>
      <c r="K98" s="16" t="s">
        <v>266</v>
      </c>
      <c r="L98" s="16" t="s">
        <v>277</v>
      </c>
      <c r="M98" s="16" t="s">
        <v>282</v>
      </c>
      <c r="N98" s="16" t="s">
        <v>284</v>
      </c>
    </row>
    <row r="99" spans="1:38" x14ac:dyDescent="0.25">
      <c r="A99" s="92">
        <v>2</v>
      </c>
      <c r="B99" s="89" t="s">
        <v>214</v>
      </c>
      <c r="C99" s="103" t="s">
        <v>222</v>
      </c>
      <c r="D99" s="103" t="s">
        <v>230</v>
      </c>
      <c r="E99" s="103" t="s">
        <v>236</v>
      </c>
      <c r="F99" s="104" t="s">
        <v>242</v>
      </c>
      <c r="G99" s="106" t="s">
        <v>247</v>
      </c>
      <c r="H99" s="106" t="s">
        <v>291</v>
      </c>
      <c r="I99" s="106" t="s">
        <v>256</v>
      </c>
      <c r="J99" s="16" t="s">
        <v>262</v>
      </c>
      <c r="K99" s="16" t="s">
        <v>266</v>
      </c>
      <c r="L99" s="16" t="s">
        <v>277</v>
      </c>
      <c r="M99" s="16" t="s">
        <v>282</v>
      </c>
      <c r="N99" s="16" t="s">
        <v>284</v>
      </c>
    </row>
    <row r="100" spans="1:38" s="96" customFormat="1" x14ac:dyDescent="0.25">
      <c r="A100" s="100">
        <v>1</v>
      </c>
      <c r="B100" s="89" t="s">
        <v>214</v>
      </c>
      <c r="C100" s="96" t="s">
        <v>222</v>
      </c>
      <c r="D100" s="96" t="s">
        <v>230</v>
      </c>
      <c r="E100" s="96" t="s">
        <v>236</v>
      </c>
      <c r="F100" s="105" t="s">
        <v>242</v>
      </c>
      <c r="G100" s="106" t="s">
        <v>247</v>
      </c>
      <c r="H100" s="106" t="s">
        <v>291</v>
      </c>
      <c r="I100" s="106" t="s">
        <v>256</v>
      </c>
      <c r="J100" s="16" t="s">
        <v>262</v>
      </c>
      <c r="K100" s="16" t="s">
        <v>266</v>
      </c>
      <c r="L100" s="16" t="s">
        <v>277</v>
      </c>
      <c r="M100" s="16" t="s">
        <v>282</v>
      </c>
      <c r="N100" s="16" t="s">
        <v>284</v>
      </c>
      <c r="Y100" s="105"/>
      <c r="AL100" s="10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B72"/>
  <sheetViews>
    <sheetView workbookViewId="0">
      <selection activeCell="D9" sqref="D9"/>
    </sheetView>
  </sheetViews>
  <sheetFormatPr baseColWidth="10" defaultRowHeight="15" x14ac:dyDescent="0.25"/>
  <cols>
    <col min="1" max="1" width="11.85546875" bestFit="1" customWidth="1"/>
    <col min="5" max="5" width="11.85546875" bestFit="1" customWidth="1"/>
    <col min="7" max="7" width="13.7109375" customWidth="1"/>
    <col min="8" max="8" width="12.7109375" customWidth="1"/>
    <col min="14" max="14" width="12.5703125" customWidth="1"/>
    <col min="23" max="54" width="4.42578125" customWidth="1"/>
    <col min="56" max="56" width="17.85546875" customWidth="1"/>
    <col min="57" max="57" width="5" customWidth="1"/>
    <col min="63" max="63" width="7.5703125" customWidth="1"/>
    <col min="64" max="64" width="9.7109375" customWidth="1"/>
    <col min="65" max="65" width="6.5703125" customWidth="1"/>
    <col min="71" max="71" width="4.140625" customWidth="1"/>
    <col min="74" max="74" width="21" customWidth="1"/>
    <col min="75" max="75" width="2.5703125" customWidth="1"/>
    <col min="77" max="77" width="7.85546875" customWidth="1"/>
    <col min="78" max="78" width="2.42578125" customWidth="1"/>
    <col min="81" max="81" width="8.28515625" customWidth="1"/>
    <col min="89" max="89" width="4.28515625" customWidth="1"/>
  </cols>
  <sheetData>
    <row r="1" spans="1:132" x14ac:dyDescent="0.25">
      <c r="A1" t="s">
        <v>139</v>
      </c>
    </row>
    <row r="2" spans="1:132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  <c r="BA2">
        <v>53</v>
      </c>
      <c r="BB2">
        <v>54</v>
      </c>
      <c r="BC2">
        <v>55</v>
      </c>
      <c r="BD2">
        <v>56</v>
      </c>
      <c r="BE2">
        <v>57</v>
      </c>
      <c r="BF2">
        <v>58</v>
      </c>
      <c r="BG2">
        <v>59</v>
      </c>
      <c r="BH2">
        <v>60</v>
      </c>
      <c r="BI2">
        <v>61</v>
      </c>
      <c r="BJ2">
        <v>62</v>
      </c>
      <c r="BK2">
        <v>63</v>
      </c>
      <c r="BL2">
        <v>64</v>
      </c>
      <c r="BM2">
        <v>65</v>
      </c>
      <c r="BN2">
        <v>66</v>
      </c>
      <c r="BO2">
        <v>67</v>
      </c>
      <c r="BP2">
        <v>68</v>
      </c>
      <c r="BQ2">
        <v>69</v>
      </c>
      <c r="BR2">
        <v>70</v>
      </c>
      <c r="BS2">
        <v>71</v>
      </c>
      <c r="BT2">
        <v>72</v>
      </c>
      <c r="BU2">
        <v>73</v>
      </c>
      <c r="BV2">
        <v>74</v>
      </c>
      <c r="BW2">
        <v>75</v>
      </c>
      <c r="BX2">
        <v>76</v>
      </c>
      <c r="BY2">
        <v>77</v>
      </c>
      <c r="BZ2">
        <v>78</v>
      </c>
      <c r="CA2">
        <v>79</v>
      </c>
      <c r="CB2">
        <v>80</v>
      </c>
      <c r="CC2">
        <v>81</v>
      </c>
      <c r="CD2">
        <v>82</v>
      </c>
      <c r="CE2">
        <v>83</v>
      </c>
      <c r="CF2">
        <v>84</v>
      </c>
      <c r="CG2">
        <v>85</v>
      </c>
      <c r="CH2">
        <v>86</v>
      </c>
      <c r="CI2">
        <v>87</v>
      </c>
      <c r="CJ2">
        <v>88</v>
      </c>
      <c r="CK2">
        <v>89</v>
      </c>
      <c r="CL2">
        <v>90</v>
      </c>
      <c r="CM2">
        <v>91</v>
      </c>
      <c r="CN2">
        <v>92</v>
      </c>
      <c r="CO2">
        <v>93</v>
      </c>
      <c r="CP2">
        <v>94</v>
      </c>
      <c r="CQ2">
        <v>95</v>
      </c>
      <c r="CR2">
        <v>96</v>
      </c>
      <c r="CS2">
        <v>97</v>
      </c>
      <c r="CT2">
        <v>98</v>
      </c>
      <c r="CU2">
        <v>99</v>
      </c>
      <c r="CV2">
        <v>100</v>
      </c>
      <c r="CW2">
        <v>101</v>
      </c>
      <c r="CX2">
        <v>102</v>
      </c>
      <c r="CY2">
        <v>103</v>
      </c>
      <c r="CZ2">
        <v>104</v>
      </c>
      <c r="DA2">
        <v>105</v>
      </c>
      <c r="DB2">
        <v>106</v>
      </c>
      <c r="DC2">
        <v>107</v>
      </c>
      <c r="DD2">
        <v>108</v>
      </c>
      <c r="DE2">
        <v>109</v>
      </c>
      <c r="DF2">
        <v>110</v>
      </c>
      <c r="DG2">
        <v>111</v>
      </c>
      <c r="DH2">
        <v>112</v>
      </c>
      <c r="DI2">
        <v>113</v>
      </c>
      <c r="DJ2">
        <v>114</v>
      </c>
      <c r="DK2">
        <v>115</v>
      </c>
      <c r="DL2">
        <v>116</v>
      </c>
      <c r="DM2">
        <v>117</v>
      </c>
      <c r="DN2">
        <v>118</v>
      </c>
      <c r="DO2">
        <v>119</v>
      </c>
      <c r="DP2">
        <v>120</v>
      </c>
      <c r="DQ2">
        <v>121</v>
      </c>
      <c r="DR2">
        <v>122</v>
      </c>
      <c r="DS2">
        <v>123</v>
      </c>
      <c r="DT2">
        <v>124</v>
      </c>
      <c r="DU2">
        <v>125</v>
      </c>
      <c r="DV2">
        <v>126</v>
      </c>
      <c r="DW2">
        <v>127</v>
      </c>
      <c r="DX2">
        <v>128</v>
      </c>
      <c r="DY2">
        <v>129</v>
      </c>
      <c r="DZ2">
        <v>130</v>
      </c>
      <c r="EA2">
        <v>131</v>
      </c>
      <c r="EB2">
        <v>132</v>
      </c>
    </row>
    <row r="3" spans="1:132" x14ac:dyDescent="0.25">
      <c r="A3">
        <f>Datos!H3</f>
        <v>5</v>
      </c>
      <c r="B3">
        <f>Datos!I3</f>
        <v>4</v>
      </c>
      <c r="C3">
        <f>Datos!J3</f>
        <v>4</v>
      </c>
      <c r="D3">
        <f>Datos!K3</f>
        <v>3</v>
      </c>
      <c r="E3">
        <f>Datos!L3</f>
        <v>2</v>
      </c>
      <c r="F3">
        <f>Datos!M3</f>
        <v>2</v>
      </c>
      <c r="G3">
        <f>Datos!N3</f>
        <v>2</v>
      </c>
      <c r="H3">
        <f>Datos!O3</f>
        <v>4</v>
      </c>
      <c r="I3">
        <f>Datos!P3</f>
        <v>2</v>
      </c>
      <c r="J3">
        <f>Datos!Q3</f>
        <v>4</v>
      </c>
      <c r="K3">
        <f>Datos!R3</f>
        <v>3</v>
      </c>
      <c r="L3">
        <f>Datos!S3</f>
        <v>3</v>
      </c>
      <c r="M3">
        <f>Datos!T3</f>
        <v>3</v>
      </c>
      <c r="N3">
        <f>Datos!U3</f>
        <v>3</v>
      </c>
      <c r="O3">
        <f>Datos!V3</f>
        <v>3</v>
      </c>
      <c r="P3">
        <f>Datos!W3</f>
        <v>2</v>
      </c>
      <c r="Q3">
        <f>Datos!X3</f>
        <v>1</v>
      </c>
      <c r="R3">
        <f>Datos!Y3</f>
        <v>3</v>
      </c>
      <c r="S3">
        <f>Datos!Z3</f>
        <v>3</v>
      </c>
      <c r="T3">
        <f>Datos!AA3</f>
        <v>3</v>
      </c>
      <c r="U3">
        <f>Datos!AB3</f>
        <v>2</v>
      </c>
      <c r="V3">
        <f>Datos!AC3</f>
        <v>5</v>
      </c>
      <c r="W3">
        <f>Datos!AD3</f>
        <v>5</v>
      </c>
      <c r="X3">
        <f>Datos!AE3</f>
        <v>4</v>
      </c>
      <c r="Y3">
        <f>Datos!AF3</f>
        <v>4</v>
      </c>
      <c r="Z3">
        <f>Datos!AG3</f>
        <v>3</v>
      </c>
      <c r="AA3">
        <f>Datos!AH3</f>
        <v>3</v>
      </c>
      <c r="AB3">
        <f>Datos!AI3</f>
        <v>3</v>
      </c>
      <c r="AC3">
        <f>Datos!AJ3</f>
        <v>4</v>
      </c>
      <c r="AD3">
        <f>Datos!AK3</f>
        <v>4</v>
      </c>
      <c r="AE3">
        <f>Datos!AL3</f>
        <v>2</v>
      </c>
      <c r="AF3">
        <f>Datos!AM3</f>
        <v>4</v>
      </c>
      <c r="AG3">
        <f>Datos!AN3</f>
        <v>3</v>
      </c>
      <c r="AH3">
        <f>Datos!AO3</f>
        <v>4</v>
      </c>
      <c r="AI3">
        <f>Datos!AP3</f>
        <v>2</v>
      </c>
      <c r="AJ3">
        <f>Datos!AQ3</f>
        <v>2</v>
      </c>
      <c r="AK3">
        <f>Datos!AR3</f>
        <v>3</v>
      </c>
      <c r="AL3">
        <f>Datos!AS3</f>
        <v>3</v>
      </c>
      <c r="AM3">
        <f>Datos!AT3</f>
        <v>4</v>
      </c>
      <c r="AN3">
        <f>Datos!AU3</f>
        <v>4</v>
      </c>
      <c r="AO3">
        <f>Datos!AV3</f>
        <v>4</v>
      </c>
      <c r="AP3">
        <f>Datos!AW3</f>
        <v>3</v>
      </c>
      <c r="AQ3">
        <f>Datos!AX3</f>
        <v>2</v>
      </c>
      <c r="AR3">
        <f>Datos!AY3</f>
        <v>3</v>
      </c>
      <c r="AS3">
        <f>Datos!AZ3</f>
        <v>4</v>
      </c>
      <c r="AT3">
        <f>Datos!BA3</f>
        <v>4</v>
      </c>
      <c r="AU3">
        <f>Datos!BB3</f>
        <v>3</v>
      </c>
      <c r="AV3">
        <f>Datos!BC3</f>
        <v>3</v>
      </c>
      <c r="AW3">
        <f>Datos!BD3</f>
        <v>4</v>
      </c>
      <c r="AX3">
        <f>Datos!BE3</f>
        <v>2</v>
      </c>
      <c r="AY3">
        <f>Datos!BF3</f>
        <v>3</v>
      </c>
      <c r="AZ3">
        <f>Datos!BG3</f>
        <v>4</v>
      </c>
      <c r="BA3">
        <f>Datos!BH3</f>
        <v>4</v>
      </c>
      <c r="BB3">
        <f>Datos!BI3</f>
        <v>3</v>
      </c>
      <c r="BC3">
        <f>Datos!BJ3</f>
        <v>3</v>
      </c>
      <c r="BD3">
        <f>Datos!BK3</f>
        <v>5</v>
      </c>
      <c r="BE3">
        <f>Datos!BL3</f>
        <v>2</v>
      </c>
      <c r="BF3">
        <f>Datos!BM3</f>
        <v>2</v>
      </c>
      <c r="BG3">
        <f>Datos!BN3</f>
        <v>4</v>
      </c>
      <c r="BH3">
        <f>Datos!BO3</f>
        <v>3</v>
      </c>
      <c r="BI3">
        <f>Datos!BP3</f>
        <v>4</v>
      </c>
      <c r="BJ3">
        <f>Datos!BQ3</f>
        <v>3</v>
      </c>
      <c r="BK3">
        <f>Datos!BR3</f>
        <v>3</v>
      </c>
      <c r="BL3">
        <f>Datos!BS3</f>
        <v>4</v>
      </c>
      <c r="BM3">
        <f>Datos!BT3</f>
        <v>2</v>
      </c>
      <c r="BN3">
        <f>Datos!BU3</f>
        <v>4</v>
      </c>
      <c r="BO3">
        <f>Datos!BV3</f>
        <v>2</v>
      </c>
      <c r="BP3">
        <f>Datos!BW3</f>
        <v>3</v>
      </c>
      <c r="BQ3">
        <f>Datos!BX3</f>
        <v>4</v>
      </c>
      <c r="BR3">
        <f>Datos!BY3</f>
        <v>4</v>
      </c>
      <c r="BS3">
        <f>Datos!BZ3</f>
        <v>3</v>
      </c>
      <c r="BT3">
        <f>Datos!CA3</f>
        <v>4</v>
      </c>
      <c r="BU3">
        <f>Datos!CB3</f>
        <v>4</v>
      </c>
      <c r="BV3">
        <f>Datos!CC3</f>
        <v>4</v>
      </c>
      <c r="BW3">
        <f>Datos!CD3</f>
        <v>3</v>
      </c>
      <c r="BX3">
        <f>Datos!CE3</f>
        <v>1</v>
      </c>
      <c r="BY3">
        <f>Datos!CF3</f>
        <v>4</v>
      </c>
      <c r="BZ3">
        <f>Datos!CG3</f>
        <v>1</v>
      </c>
      <c r="CA3">
        <f>Datos!CH3</f>
        <v>4</v>
      </c>
      <c r="CB3">
        <f>Datos!CI3</f>
        <v>2</v>
      </c>
      <c r="CC3">
        <f>Datos!CJ3</f>
        <v>3</v>
      </c>
      <c r="CD3">
        <f>Datos!CK3</f>
        <v>2</v>
      </c>
      <c r="CE3">
        <f>Datos!CL3</f>
        <v>4</v>
      </c>
      <c r="CF3">
        <f>Datos!CM3</f>
        <v>1</v>
      </c>
      <c r="CG3">
        <f>Datos!CN3</f>
        <v>4</v>
      </c>
      <c r="CH3">
        <f>Datos!CO3</f>
        <v>3</v>
      </c>
      <c r="CI3">
        <f>Datos!CP3</f>
        <v>4</v>
      </c>
      <c r="CJ3">
        <f>Datos!CQ3</f>
        <v>4</v>
      </c>
      <c r="CK3">
        <f>Datos!CR3</f>
        <v>3</v>
      </c>
      <c r="CL3">
        <f>Datos!CS3</f>
        <v>2</v>
      </c>
      <c r="CM3">
        <f>Datos!CT3</f>
        <v>2</v>
      </c>
      <c r="CN3">
        <f>Datos!CU3</f>
        <v>3</v>
      </c>
      <c r="CO3">
        <f>Datos!CV3</f>
        <v>4</v>
      </c>
      <c r="CP3">
        <f>Datos!CW3</f>
        <v>4</v>
      </c>
      <c r="CQ3">
        <f>Datos!CX3</f>
        <v>3</v>
      </c>
      <c r="CR3">
        <f>Datos!CY3</f>
        <v>4</v>
      </c>
      <c r="CS3">
        <f>Datos!CZ3</f>
        <v>4</v>
      </c>
      <c r="CT3">
        <f>Datos!DA3</f>
        <v>4</v>
      </c>
      <c r="CU3">
        <f>Datos!DB3</f>
        <v>1</v>
      </c>
      <c r="CV3">
        <f>Datos!DC3</f>
        <v>5</v>
      </c>
      <c r="CW3">
        <f>Datos!DD3</f>
        <v>3</v>
      </c>
      <c r="CX3">
        <f>Datos!DE3</f>
        <v>4</v>
      </c>
      <c r="CY3">
        <f>Datos!DF3</f>
        <v>2</v>
      </c>
      <c r="CZ3">
        <f>Datos!DG3</f>
        <v>4</v>
      </c>
      <c r="DA3">
        <f>Datos!DH3</f>
        <v>4</v>
      </c>
      <c r="DB3">
        <f>Datos!DI3</f>
        <v>2</v>
      </c>
      <c r="DC3">
        <f>Datos!DJ3</f>
        <v>3</v>
      </c>
      <c r="DD3">
        <f>Datos!DK3</f>
        <v>3</v>
      </c>
      <c r="DE3">
        <f>Datos!DL3</f>
        <v>4</v>
      </c>
      <c r="DF3">
        <f>Datos!DM3</f>
        <v>4</v>
      </c>
      <c r="DG3">
        <f>Datos!DN3</f>
        <v>4</v>
      </c>
      <c r="DH3">
        <f>Datos!DO3</f>
        <v>2</v>
      </c>
      <c r="DI3">
        <f>Datos!DP3</f>
        <v>2</v>
      </c>
      <c r="DJ3">
        <f>Datos!DQ3</f>
        <v>4</v>
      </c>
      <c r="DK3">
        <f>Datos!DR3</f>
        <v>4</v>
      </c>
      <c r="DL3">
        <f>Datos!DS3</f>
        <v>4</v>
      </c>
      <c r="DM3">
        <f>Datos!DT3</f>
        <v>2</v>
      </c>
      <c r="DN3">
        <f>Datos!DU3</f>
        <v>4</v>
      </c>
      <c r="DO3">
        <f>Datos!DV3</f>
        <v>2</v>
      </c>
      <c r="DP3">
        <f>Datos!DW3</f>
        <v>3</v>
      </c>
      <c r="DQ3">
        <f>Datos!DX3</f>
        <v>2</v>
      </c>
      <c r="DR3">
        <f>Datos!DY3</f>
        <v>2</v>
      </c>
      <c r="DS3">
        <f>Datos!DZ3</f>
        <v>3</v>
      </c>
      <c r="DT3">
        <f>Datos!EA3</f>
        <v>2</v>
      </c>
      <c r="DU3">
        <f>Datos!EB3</f>
        <v>3</v>
      </c>
      <c r="DV3">
        <f>Datos!EC3</f>
        <v>3</v>
      </c>
      <c r="DW3">
        <f>Datos!ED3</f>
        <v>3</v>
      </c>
      <c r="DX3">
        <f>Datos!EE3</f>
        <v>4</v>
      </c>
      <c r="DY3">
        <f>Datos!EF3</f>
        <v>3</v>
      </c>
      <c r="DZ3">
        <f>Datos!EG3</f>
        <v>2</v>
      </c>
      <c r="EA3">
        <f>Datos!EH3</f>
        <v>3</v>
      </c>
      <c r="EB3">
        <f>Datos!EI3</f>
        <v>4</v>
      </c>
    </row>
    <row r="6" spans="1:132" ht="15.75" thickBot="1" x14ac:dyDescent="0.3"/>
    <row r="7" spans="1:132" x14ac:dyDescent="0.25">
      <c r="A7" s="6" t="s">
        <v>140</v>
      </c>
      <c r="B7" s="7" t="s">
        <v>141</v>
      </c>
      <c r="D7" s="6" t="s">
        <v>143</v>
      </c>
      <c r="E7" s="7" t="s">
        <v>144</v>
      </c>
      <c r="G7" s="6" t="s">
        <v>146</v>
      </c>
      <c r="H7" s="7" t="s">
        <v>147</v>
      </c>
      <c r="J7" s="6" t="s">
        <v>149</v>
      </c>
      <c r="K7" s="7" t="s">
        <v>150</v>
      </c>
      <c r="M7" s="6" t="s">
        <v>152</v>
      </c>
      <c r="N7" s="7" t="s">
        <v>153</v>
      </c>
      <c r="P7" s="6" t="s">
        <v>156</v>
      </c>
      <c r="Q7" s="7" t="s">
        <v>157</v>
      </c>
    </row>
    <row r="8" spans="1:132" x14ac:dyDescent="0.25">
      <c r="A8" s="8">
        <f>36+(A3+Y3+BA3+BP3+CP3+DJ3)-(G3+AK3+AY3+BZ3+CU3+DQ3)</f>
        <v>48</v>
      </c>
      <c r="B8" s="9">
        <f>36+(M3+AM3+BG3+BU3+CX3+DM3)-(S3+AE3+BI3+BS3+CQ3+DS3)</f>
        <v>39</v>
      </c>
      <c r="D8" s="8">
        <f>36+(J3+AH3+AV3+CH3+DE3+DG3)-(D3+AB3+BL3+BR3+CV3+DZ3)</f>
        <v>37</v>
      </c>
      <c r="E8" s="9">
        <f>36+(V3+AR3+AZ3+CJ3+CO3+DV3)-(P3+AN3+BM3+BV3+DD3+DX3)</f>
        <v>40</v>
      </c>
      <c r="G8" s="8">
        <f>36+(H3+Z3+BE3+CA3+DB3+DY3)-(B3+AF3+BN3+CD3+DF3+EB3)</f>
        <v>32</v>
      </c>
      <c r="H8" s="9">
        <f>36+(T3+AT3+AW3+BW3+CR3+DK3)-(N3+AL3+BB3+CG3+DC3+DU3)</f>
        <v>39</v>
      </c>
      <c r="J8" s="8">
        <f>36+(I3+AA3+AX3+CC3+CK3+DR3)-(C3+AG3+BJ3+BQ3+CT3+DP3)</f>
        <v>30</v>
      </c>
      <c r="K8" s="9">
        <f>36+(U3+AQ3+BF3+BX3+CM3+DO3)-(O3+AS3+BK3+CE3+CZ3+DL3)</f>
        <v>25</v>
      </c>
      <c r="M8" s="8">
        <f>36+(E3+AC3+BH3+CI3+DA3+DH3)-(K3+AP3+BC3+BY3+CL3+DT3)</f>
        <v>38</v>
      </c>
      <c r="N8" s="9">
        <f>36+(W3+AO3+BD3+BT3+CS3+DN3)-(Q3+AI3+AU3+BO3+CY3+EA3)</f>
        <v>49</v>
      </c>
      <c r="P8" s="8">
        <f>R3+X3+AD3+CB3+CW3+DW3</f>
        <v>19</v>
      </c>
      <c r="Q8" s="9">
        <f>F3+L3+AJ3+CF3+CN3+DI3</f>
        <v>13</v>
      </c>
    </row>
    <row r="9" spans="1:132" x14ac:dyDescent="0.25">
      <c r="A9" s="8">
        <f t="array" ref="A9">INDEX($A$16:$A$46, MATCH(MIN(ABS(B16:B46-A8)), ABS(B16:B46-A8),))</f>
        <v>75</v>
      </c>
      <c r="B9" s="8">
        <f t="array" ref="B9">INDEX($A$16:$A$42, MATCH(MIN(ABS(C16:C42-B8)), ABS(C16:C42-B8),))</f>
        <v>55</v>
      </c>
      <c r="C9" t="s">
        <v>165</v>
      </c>
      <c r="D9" s="8">
        <f t="array" ref="D9">INDEX($A$16:$A$46, MATCH(MIN(ABS(E16:E46-D8)), ABS(E16:E46-D8),))</f>
        <v>2</v>
      </c>
      <c r="E9" s="8">
        <f t="array" ref="E9">INDEX($A$16:$A$46, MATCH(MIN(ABS(F16:F46-E8)), ABS(F16:F46-E8),))</f>
        <v>25</v>
      </c>
      <c r="F9" t="s">
        <v>165</v>
      </c>
      <c r="G9" s="8">
        <f t="array" ref="G9">INDEX($A$16:$A$42, MATCH(MIN(ABS(H16:H42-G8)), ABS(H16:H42-G8),))</f>
        <v>5</v>
      </c>
      <c r="H9" s="8">
        <f t="array" ref="H9">INDEX($A$16:$A$46, MATCH(MIN(ABS(I16:I46-H8)), ABS(I16:I46-H8),))</f>
        <v>5</v>
      </c>
      <c r="I9" t="s">
        <v>165</v>
      </c>
      <c r="J9" s="8">
        <f t="array" ref="J9">INDEX($A$16:$A$46, MATCH(MIN(ABS(K16:K46-J8)), ABS(K16:K46-J8),))</f>
        <v>10</v>
      </c>
      <c r="K9" s="8">
        <f t="array" ref="K9">INDEX($A$16:$A$46, MATCH(MIN(ABS(L16:L46-K8)), ABS(L16:L46-K8),))</f>
        <v>4</v>
      </c>
      <c r="L9" t="s">
        <v>165</v>
      </c>
      <c r="M9" s="8">
        <f t="array" ref="M9">INDEX($A$16:$A$46, MATCH(MIN(ABS(N16:N46-M8)), ABS(N16:N46-M8),))</f>
        <v>20</v>
      </c>
      <c r="N9" s="8">
        <f t="array" ref="N9">INDEX($A$16:$A$46, MATCH(MIN(ABS(O16:O46-N8)), ABS(O16:O46-N8),))</f>
        <v>80</v>
      </c>
      <c r="O9" t="s">
        <v>165</v>
      </c>
      <c r="P9" s="8"/>
      <c r="Q9" s="9"/>
    </row>
    <row r="10" spans="1:132" x14ac:dyDescent="0.25">
      <c r="A10" s="8" t="s">
        <v>142</v>
      </c>
      <c r="B10" s="9" t="s">
        <v>178</v>
      </c>
      <c r="D10" s="8" t="s">
        <v>145</v>
      </c>
      <c r="E10" s="9" t="s">
        <v>179</v>
      </c>
      <c r="G10" s="8" t="s">
        <v>148</v>
      </c>
      <c r="H10" s="9" t="s">
        <v>180</v>
      </c>
      <c r="J10" s="8" t="s">
        <v>151</v>
      </c>
      <c r="K10" s="9" t="s">
        <v>176</v>
      </c>
      <c r="M10" s="8" t="s">
        <v>154</v>
      </c>
      <c r="N10" s="9" t="s">
        <v>177</v>
      </c>
      <c r="P10" s="8" t="s">
        <v>155</v>
      </c>
      <c r="Q10" s="9" t="s">
        <v>181</v>
      </c>
    </row>
    <row r="11" spans="1:132" ht="15.75" thickBot="1" x14ac:dyDescent="0.3">
      <c r="A11" s="10">
        <f>A8+B8</f>
        <v>87</v>
      </c>
      <c r="B11" s="11">
        <f t="array" ref="B11">INDEX(C45:C72, MATCH(MIN(ABS(D45:D72-A11)), ABS(D45:D72-A11),))</f>
        <v>70</v>
      </c>
      <c r="D11" s="10">
        <f>D8+E8</f>
        <v>77</v>
      </c>
      <c r="E11" s="11">
        <f t="array" ref="E11">INDEX($A$16:$A$46, MATCH(MIN(ABS(G16:G46-D11)), ABS(G16:G46-D11),))</f>
        <v>4</v>
      </c>
      <c r="G11" s="10">
        <f>G8+H8</f>
        <v>71</v>
      </c>
      <c r="H11" s="11">
        <f t="array" ref="H11">INDEX($A$16:$A$46, MATCH(MIN(ABS(J16:J46-G11)), ABS(J16:J46-G11),))</f>
        <v>3</v>
      </c>
      <c r="J11" s="10">
        <f>J8+K8</f>
        <v>55</v>
      </c>
      <c r="K11" s="11">
        <f t="array" ref="K11">INDEX($A$16:$A$42, MATCH(MIN(ABS(M16:M42-J11)), ABS(M16:M42-J11),))</f>
        <v>5</v>
      </c>
      <c r="M11" s="10">
        <f>M8+N8</f>
        <v>87</v>
      </c>
      <c r="N11" s="11">
        <f t="array" ref="N11">INDEX($A$16:$A$46, MATCH(MIN(ABS(P16:P46-M11)), ABS(P16:P46-M11),))</f>
        <v>40</v>
      </c>
      <c r="P11" s="10">
        <f>P8+Q8</f>
        <v>32</v>
      </c>
      <c r="Q11" s="11">
        <f t="array" ref="Q11">INDEX(Q16:Q42, MATCH(MIN(ABS(R16:R42-P11)), ABS(R16:R42-P11),))</f>
        <v>60</v>
      </c>
    </row>
    <row r="13" spans="1:132" ht="15.75" thickBot="1" x14ac:dyDescent="0.3"/>
    <row r="14" spans="1:132" ht="15.75" thickBot="1" x14ac:dyDescent="0.3">
      <c r="A14" s="12" t="s">
        <v>204</v>
      </c>
    </row>
    <row r="15" spans="1:132" ht="15.75" thickBot="1" x14ac:dyDescent="0.3">
      <c r="A15" t="s">
        <v>163</v>
      </c>
      <c r="B15" t="s">
        <v>164</v>
      </c>
      <c r="C15" s="76" t="s">
        <v>167</v>
      </c>
      <c r="D15" s="80"/>
      <c r="E15" s="77" t="s">
        <v>168</v>
      </c>
      <c r="F15" s="78" t="s">
        <v>169</v>
      </c>
      <c r="G15" s="80" t="s">
        <v>166</v>
      </c>
      <c r="H15" s="78" t="s">
        <v>170</v>
      </c>
      <c r="I15" s="78" t="s">
        <v>171</v>
      </c>
      <c r="J15" s="80" t="s">
        <v>183</v>
      </c>
      <c r="K15" s="78" t="s">
        <v>172</v>
      </c>
      <c r="L15" s="78" t="s">
        <v>173</v>
      </c>
      <c r="M15" s="83" t="s">
        <v>184</v>
      </c>
      <c r="N15" s="78" t="s">
        <v>174</v>
      </c>
      <c r="O15" s="78" t="s">
        <v>175</v>
      </c>
      <c r="P15" s="80" t="s">
        <v>185</v>
      </c>
      <c r="Q15" s="75" t="s">
        <v>163</v>
      </c>
      <c r="R15" s="84" t="s">
        <v>186</v>
      </c>
      <c r="X15" t="s">
        <v>182</v>
      </c>
      <c r="Y15" t="s">
        <v>166</v>
      </c>
      <c r="Z15" t="s">
        <v>183</v>
      </c>
      <c r="AA15" t="s">
        <v>184</v>
      </c>
      <c r="AB15" t="s">
        <v>185</v>
      </c>
      <c r="AE15" t="s">
        <v>186</v>
      </c>
      <c r="AI15" t="s">
        <v>164</v>
      </c>
      <c r="AJ15" t="s">
        <v>167</v>
      </c>
      <c r="AK15" t="s">
        <v>168</v>
      </c>
      <c r="AL15" t="s">
        <v>169</v>
      </c>
      <c r="AM15" t="s">
        <v>170</v>
      </c>
      <c r="AN15" t="s">
        <v>171</v>
      </c>
      <c r="AO15" t="s">
        <v>172</v>
      </c>
      <c r="AP15" t="s">
        <v>173</v>
      </c>
      <c r="AQ15" t="s">
        <v>174</v>
      </c>
      <c r="AR15" t="s">
        <v>175</v>
      </c>
    </row>
    <row r="16" spans="1:132" ht="15.75" thickBot="1" x14ac:dyDescent="0.3">
      <c r="A16" s="14">
        <v>99</v>
      </c>
      <c r="B16" s="17">
        <v>56</v>
      </c>
      <c r="C16" s="17">
        <v>51</v>
      </c>
      <c r="D16" s="28"/>
      <c r="E16" s="17">
        <v>57</v>
      </c>
      <c r="F16" s="18">
        <v>55</v>
      </c>
      <c r="G16" s="28">
        <v>109</v>
      </c>
      <c r="H16" s="17">
        <v>54</v>
      </c>
      <c r="I16" s="18">
        <v>59</v>
      </c>
      <c r="J16" s="28">
        <v>109</v>
      </c>
      <c r="K16" s="18">
        <v>54</v>
      </c>
      <c r="L16" s="18">
        <v>51</v>
      </c>
      <c r="M16" s="28">
        <v>103</v>
      </c>
      <c r="N16" s="18">
        <v>57</v>
      </c>
      <c r="O16" s="18">
        <v>57</v>
      </c>
      <c r="P16" s="28">
        <v>110</v>
      </c>
      <c r="Q16" s="14">
        <v>99</v>
      </c>
      <c r="R16" s="81">
        <v>44</v>
      </c>
      <c r="W16" t="s">
        <v>200</v>
      </c>
      <c r="X16">
        <f>B11</f>
        <v>70</v>
      </c>
      <c r="Y16">
        <f>E11</f>
        <v>4</v>
      </c>
      <c r="Z16">
        <f>H11</f>
        <v>3</v>
      </c>
      <c r="AA16">
        <f>K11</f>
        <v>5</v>
      </c>
      <c r="AB16">
        <f>N11</f>
        <v>40</v>
      </c>
      <c r="AD16" t="s">
        <v>201</v>
      </c>
      <c r="AE16">
        <f>Q11</f>
        <v>60</v>
      </c>
      <c r="AH16" t="s">
        <v>203</v>
      </c>
      <c r="AI16">
        <f>A9</f>
        <v>75</v>
      </c>
      <c r="AJ16">
        <f>B9</f>
        <v>55</v>
      </c>
      <c r="AK16">
        <f>D9</f>
        <v>2</v>
      </c>
      <c r="AL16">
        <f>E9</f>
        <v>25</v>
      </c>
      <c r="AM16">
        <f>G9</f>
        <v>5</v>
      </c>
      <c r="AN16">
        <f>H9</f>
        <v>5</v>
      </c>
      <c r="AO16">
        <f>J9</f>
        <v>10</v>
      </c>
      <c r="AP16">
        <f>K9</f>
        <v>4</v>
      </c>
      <c r="AQ16">
        <f>M9</f>
        <v>20</v>
      </c>
      <c r="AR16">
        <f>N9</f>
        <v>80</v>
      </c>
      <c r="BH16" t="s">
        <v>202</v>
      </c>
    </row>
    <row r="17" spans="1:89" ht="15.75" thickBot="1" x14ac:dyDescent="0.3">
      <c r="A17" s="15">
        <v>98</v>
      </c>
      <c r="B17" s="18">
        <v>55</v>
      </c>
      <c r="C17" s="18">
        <v>50</v>
      </c>
      <c r="D17" s="28"/>
      <c r="E17" s="18">
        <v>999</v>
      </c>
      <c r="F17" s="18">
        <v>54</v>
      </c>
      <c r="G17" s="28">
        <v>108</v>
      </c>
      <c r="H17" s="18">
        <v>53</v>
      </c>
      <c r="I17" s="18">
        <v>58</v>
      </c>
      <c r="J17" s="28">
        <v>108</v>
      </c>
      <c r="K17" s="18">
        <v>53</v>
      </c>
      <c r="L17" s="18">
        <v>50</v>
      </c>
      <c r="M17" s="28">
        <v>101.5</v>
      </c>
      <c r="N17" s="18">
        <v>55.5</v>
      </c>
      <c r="O17" s="18">
        <v>56</v>
      </c>
      <c r="P17" s="28">
        <v>109</v>
      </c>
      <c r="Q17" s="15">
        <v>98</v>
      </c>
      <c r="R17" s="81">
        <v>43</v>
      </c>
      <c r="W17">
        <v>70</v>
      </c>
      <c r="X17">
        <v>70</v>
      </c>
      <c r="Y17">
        <v>70</v>
      </c>
      <c r="Z17">
        <v>70</v>
      </c>
      <c r="AA17">
        <v>70</v>
      </c>
      <c r="AB17">
        <v>70</v>
      </c>
      <c r="AD17">
        <v>70</v>
      </c>
      <c r="AE17">
        <v>70</v>
      </c>
      <c r="AH17">
        <v>70</v>
      </c>
      <c r="AI17">
        <v>70</v>
      </c>
      <c r="AJ17">
        <v>70</v>
      </c>
      <c r="AK17">
        <v>70</v>
      </c>
      <c r="AL17">
        <v>70</v>
      </c>
      <c r="AM17">
        <v>70</v>
      </c>
      <c r="AN17">
        <v>70</v>
      </c>
      <c r="AO17">
        <v>70</v>
      </c>
      <c r="AP17">
        <v>70</v>
      </c>
      <c r="AQ17">
        <v>70</v>
      </c>
      <c r="AR17">
        <v>70</v>
      </c>
    </row>
    <row r="18" spans="1:89" ht="15.75" thickBot="1" x14ac:dyDescent="0.3">
      <c r="A18" s="15">
        <v>97</v>
      </c>
      <c r="B18" s="18">
        <v>999</v>
      </c>
      <c r="C18" s="18">
        <v>999</v>
      </c>
      <c r="D18" s="28"/>
      <c r="E18" s="18">
        <v>56</v>
      </c>
      <c r="F18" s="18">
        <v>53</v>
      </c>
      <c r="G18" s="28">
        <v>106.5</v>
      </c>
      <c r="H18" s="18">
        <v>52</v>
      </c>
      <c r="I18" s="18">
        <v>57</v>
      </c>
      <c r="J18" s="28">
        <v>107</v>
      </c>
      <c r="K18" s="18">
        <v>52</v>
      </c>
      <c r="L18" s="18">
        <v>49</v>
      </c>
      <c r="M18" s="28">
        <v>99.5</v>
      </c>
      <c r="N18" s="18">
        <v>999</v>
      </c>
      <c r="O18" s="18">
        <v>55</v>
      </c>
      <c r="P18" s="28">
        <v>108</v>
      </c>
      <c r="Q18" s="15">
        <v>97</v>
      </c>
      <c r="R18" s="81">
        <v>42</v>
      </c>
      <c r="W18">
        <v>30</v>
      </c>
      <c r="X18">
        <v>30</v>
      </c>
      <c r="Y18">
        <v>30</v>
      </c>
      <c r="Z18">
        <v>30</v>
      </c>
      <c r="AA18">
        <v>30</v>
      </c>
      <c r="AB18">
        <v>30</v>
      </c>
      <c r="AD18">
        <v>30</v>
      </c>
      <c r="AE18">
        <v>30</v>
      </c>
      <c r="AH18">
        <v>30</v>
      </c>
      <c r="AI18">
        <v>30</v>
      </c>
      <c r="AJ18">
        <v>30</v>
      </c>
      <c r="AK18">
        <v>30</v>
      </c>
      <c r="AL18">
        <v>30</v>
      </c>
      <c r="AM18">
        <v>30</v>
      </c>
      <c r="AN18">
        <v>30</v>
      </c>
      <c r="AO18">
        <v>30</v>
      </c>
      <c r="AP18">
        <v>30</v>
      </c>
      <c r="AQ18">
        <v>30</v>
      </c>
      <c r="AR18">
        <v>30</v>
      </c>
    </row>
    <row r="19" spans="1:89" ht="15.75" thickBot="1" x14ac:dyDescent="0.3">
      <c r="A19" s="15">
        <v>96</v>
      </c>
      <c r="B19" s="18">
        <v>54</v>
      </c>
      <c r="C19" s="18">
        <v>49</v>
      </c>
      <c r="D19" s="28"/>
      <c r="E19" s="18">
        <v>55</v>
      </c>
      <c r="F19" s="18">
        <v>999</v>
      </c>
      <c r="G19" s="28">
        <v>105</v>
      </c>
      <c r="H19" s="18">
        <v>999</v>
      </c>
      <c r="I19" s="18">
        <v>999</v>
      </c>
      <c r="J19" s="28">
        <v>106.5</v>
      </c>
      <c r="K19" s="18">
        <v>51</v>
      </c>
      <c r="L19" s="18">
        <v>999</v>
      </c>
      <c r="M19" s="28">
        <v>98</v>
      </c>
      <c r="N19" s="18">
        <v>54</v>
      </c>
      <c r="O19" s="18">
        <v>54</v>
      </c>
      <c r="P19" s="28">
        <v>107</v>
      </c>
      <c r="Q19" s="15">
        <v>96</v>
      </c>
      <c r="R19" s="81">
        <v>41</v>
      </c>
      <c r="W19">
        <v>7</v>
      </c>
      <c r="X19">
        <v>7</v>
      </c>
      <c r="Y19">
        <v>7</v>
      </c>
      <c r="Z19">
        <v>7</v>
      </c>
      <c r="AA19">
        <v>7</v>
      </c>
      <c r="AB19">
        <v>7</v>
      </c>
      <c r="AD19">
        <v>7</v>
      </c>
      <c r="AE19">
        <v>7</v>
      </c>
      <c r="AH19">
        <v>7</v>
      </c>
      <c r="AI19">
        <v>7</v>
      </c>
      <c r="AJ19">
        <v>7</v>
      </c>
      <c r="AK19">
        <v>7</v>
      </c>
      <c r="AL19">
        <v>7</v>
      </c>
      <c r="AM19">
        <v>7</v>
      </c>
      <c r="AN19">
        <v>7</v>
      </c>
      <c r="AO19">
        <v>7</v>
      </c>
      <c r="AP19">
        <v>7</v>
      </c>
      <c r="AQ19">
        <v>7</v>
      </c>
      <c r="AR19">
        <v>7</v>
      </c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</row>
    <row r="20" spans="1:89" ht="14.25" customHeight="1" thickBot="1" x14ac:dyDescent="0.3">
      <c r="A20" s="15">
        <v>95</v>
      </c>
      <c r="B20" s="18">
        <v>53</v>
      </c>
      <c r="C20" s="18">
        <v>47.5</v>
      </c>
      <c r="D20" s="28"/>
      <c r="E20" s="18">
        <v>54</v>
      </c>
      <c r="F20" s="18">
        <v>51.5</v>
      </c>
      <c r="G20" s="28">
        <v>103.5</v>
      </c>
      <c r="H20" s="18">
        <v>50.5</v>
      </c>
      <c r="I20" s="18">
        <v>56</v>
      </c>
      <c r="J20" s="28">
        <v>104</v>
      </c>
      <c r="K20" s="18">
        <v>49.5</v>
      </c>
      <c r="L20" s="18">
        <v>47.5</v>
      </c>
      <c r="M20" s="28">
        <v>96.5</v>
      </c>
      <c r="N20" s="18">
        <v>53</v>
      </c>
      <c r="O20" s="18">
        <v>53</v>
      </c>
      <c r="P20" s="28">
        <v>105</v>
      </c>
      <c r="Q20" s="15">
        <v>95</v>
      </c>
      <c r="R20" s="81">
        <v>40</v>
      </c>
      <c r="W20">
        <v>93</v>
      </c>
      <c r="X20">
        <v>93</v>
      </c>
      <c r="Y20">
        <v>93</v>
      </c>
      <c r="Z20">
        <v>93</v>
      </c>
      <c r="AA20">
        <v>93</v>
      </c>
      <c r="AB20">
        <v>93</v>
      </c>
      <c r="AD20">
        <v>93</v>
      </c>
      <c r="AE20">
        <v>93</v>
      </c>
      <c r="AH20">
        <v>93</v>
      </c>
      <c r="AI20">
        <v>93</v>
      </c>
      <c r="AJ20">
        <v>93</v>
      </c>
      <c r="AK20">
        <v>93</v>
      </c>
      <c r="AL20">
        <v>93</v>
      </c>
      <c r="AM20">
        <v>93</v>
      </c>
      <c r="AN20">
        <v>93</v>
      </c>
      <c r="AO20">
        <v>93</v>
      </c>
      <c r="AP20">
        <v>93</v>
      </c>
      <c r="AQ20">
        <v>93</v>
      </c>
      <c r="AR20">
        <v>93</v>
      </c>
      <c r="BW20" s="61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23"/>
    </row>
    <row r="21" spans="1:89" ht="15.75" thickBot="1" x14ac:dyDescent="0.3">
      <c r="A21" s="15">
        <v>90</v>
      </c>
      <c r="B21" s="18">
        <v>51.5</v>
      </c>
      <c r="C21" s="18">
        <v>45.5</v>
      </c>
      <c r="D21" s="81"/>
      <c r="E21" s="18">
        <v>53</v>
      </c>
      <c r="F21" s="18">
        <v>50</v>
      </c>
      <c r="G21" s="28">
        <v>101.5</v>
      </c>
      <c r="H21" s="18">
        <v>49</v>
      </c>
      <c r="I21" s="18">
        <v>54.5</v>
      </c>
      <c r="J21" s="28">
        <v>101.5</v>
      </c>
      <c r="K21" s="18">
        <v>48</v>
      </c>
      <c r="L21" s="18">
        <v>46</v>
      </c>
      <c r="M21" s="28">
        <v>93</v>
      </c>
      <c r="N21" s="18">
        <v>52</v>
      </c>
      <c r="O21" s="18">
        <v>51.5</v>
      </c>
      <c r="P21" s="28">
        <v>102</v>
      </c>
      <c r="Q21" s="15">
        <v>90</v>
      </c>
      <c r="R21" s="81">
        <v>38.5</v>
      </c>
      <c r="W21">
        <v>100</v>
      </c>
      <c r="X21">
        <v>100</v>
      </c>
      <c r="Y21">
        <v>100</v>
      </c>
      <c r="Z21">
        <v>100</v>
      </c>
      <c r="AA21">
        <v>100</v>
      </c>
      <c r="AB21">
        <v>100</v>
      </c>
      <c r="BW21" s="23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23"/>
    </row>
    <row r="22" spans="1:89" ht="15.75" thickBot="1" x14ac:dyDescent="0.3">
      <c r="A22" s="15">
        <v>85</v>
      </c>
      <c r="B22" s="18">
        <v>50</v>
      </c>
      <c r="C22" s="18">
        <v>44</v>
      </c>
      <c r="D22" s="81"/>
      <c r="E22" s="18">
        <v>52</v>
      </c>
      <c r="F22" s="18">
        <v>49</v>
      </c>
      <c r="G22" s="28">
        <v>99.5</v>
      </c>
      <c r="H22" s="18">
        <v>47.5</v>
      </c>
      <c r="I22" s="18">
        <v>53</v>
      </c>
      <c r="J22" s="28">
        <v>99</v>
      </c>
      <c r="K22" s="18">
        <v>46.5</v>
      </c>
      <c r="L22" s="18">
        <v>45</v>
      </c>
      <c r="M22" s="28">
        <v>90</v>
      </c>
      <c r="N22" s="18">
        <v>51</v>
      </c>
      <c r="O22" s="18">
        <v>50</v>
      </c>
      <c r="P22" s="28">
        <v>99.5</v>
      </c>
      <c r="Q22" s="15">
        <v>85</v>
      </c>
      <c r="R22" s="81">
        <v>37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BW22" s="23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23"/>
    </row>
    <row r="23" spans="1:89" ht="12" customHeight="1" thickBot="1" x14ac:dyDescent="0.3">
      <c r="A23" s="15">
        <v>80</v>
      </c>
      <c r="B23" s="18">
        <v>49</v>
      </c>
      <c r="C23" s="18">
        <v>43</v>
      </c>
      <c r="D23" s="81"/>
      <c r="E23" s="18">
        <v>51</v>
      </c>
      <c r="F23" s="18">
        <v>48</v>
      </c>
      <c r="G23" s="28">
        <v>98</v>
      </c>
      <c r="H23" s="18">
        <v>999</v>
      </c>
      <c r="I23" s="18">
        <v>52</v>
      </c>
      <c r="J23" s="28">
        <v>97</v>
      </c>
      <c r="K23" s="18">
        <v>45</v>
      </c>
      <c r="L23" s="18">
        <v>44</v>
      </c>
      <c r="M23" s="28">
        <v>87.5</v>
      </c>
      <c r="N23" s="18">
        <v>50</v>
      </c>
      <c r="O23" s="18">
        <v>49</v>
      </c>
      <c r="P23" s="28">
        <v>97.5</v>
      </c>
      <c r="Q23" s="15">
        <v>80</v>
      </c>
      <c r="R23" s="81">
        <v>36</v>
      </c>
      <c r="W23">
        <v>50</v>
      </c>
      <c r="X23">
        <v>50</v>
      </c>
      <c r="Y23">
        <v>50</v>
      </c>
      <c r="Z23">
        <v>50</v>
      </c>
      <c r="AA23">
        <v>50</v>
      </c>
      <c r="AB23">
        <v>50</v>
      </c>
      <c r="BW23" s="23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23"/>
    </row>
    <row r="24" spans="1:89" ht="4.5" hidden="1" customHeight="1" thickBot="1" x14ac:dyDescent="0.3">
      <c r="A24" s="15">
        <v>75</v>
      </c>
      <c r="B24" s="18">
        <v>48</v>
      </c>
      <c r="C24" s="18">
        <v>42</v>
      </c>
      <c r="D24" s="28"/>
      <c r="E24" s="18">
        <v>50</v>
      </c>
      <c r="F24" s="18">
        <v>47</v>
      </c>
      <c r="G24" s="28">
        <v>97</v>
      </c>
      <c r="H24" s="18">
        <v>46</v>
      </c>
      <c r="I24" s="18">
        <v>51</v>
      </c>
      <c r="J24" s="28">
        <v>95.5</v>
      </c>
      <c r="K24" s="18">
        <v>44</v>
      </c>
      <c r="L24" s="18">
        <v>43</v>
      </c>
      <c r="M24" s="28">
        <v>85.5</v>
      </c>
      <c r="N24" s="18">
        <v>49</v>
      </c>
      <c r="O24" s="18">
        <v>48</v>
      </c>
      <c r="P24" s="28">
        <v>95.5</v>
      </c>
      <c r="Q24" s="15">
        <v>75</v>
      </c>
      <c r="R24" s="81">
        <v>35</v>
      </c>
      <c r="BW24" s="23"/>
      <c r="BX24" s="4"/>
      <c r="BY24" s="4"/>
      <c r="BZ24" s="4"/>
      <c r="CA24" s="4"/>
      <c r="CB24" s="4"/>
      <c r="CC24" s="4"/>
      <c r="CD24" s="4"/>
      <c r="CE24" s="4"/>
      <c r="CF24" s="4"/>
      <c r="CG24" s="23"/>
      <c r="CK24" s="23"/>
    </row>
    <row r="25" spans="1:89" ht="15.75" thickBot="1" x14ac:dyDescent="0.3">
      <c r="A25" s="15">
        <v>70</v>
      </c>
      <c r="B25" s="18">
        <v>47</v>
      </c>
      <c r="C25" s="18">
        <v>41</v>
      </c>
      <c r="D25" s="28"/>
      <c r="E25" s="18">
        <v>999</v>
      </c>
      <c r="F25" s="18">
        <v>46</v>
      </c>
      <c r="G25" s="28">
        <v>95.5</v>
      </c>
      <c r="H25" s="18">
        <v>45</v>
      </c>
      <c r="I25" s="18">
        <v>999</v>
      </c>
      <c r="J25" s="28">
        <v>94</v>
      </c>
      <c r="K25" s="18">
        <v>43</v>
      </c>
      <c r="L25" s="18">
        <v>42</v>
      </c>
      <c r="M25" s="28">
        <v>84</v>
      </c>
      <c r="N25" s="18">
        <v>48</v>
      </c>
      <c r="O25" s="18">
        <v>999</v>
      </c>
      <c r="P25" s="28">
        <v>94</v>
      </c>
      <c r="Q25" s="15">
        <v>70</v>
      </c>
      <c r="R25" s="81">
        <v>34</v>
      </c>
      <c r="BW25" s="23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23"/>
    </row>
    <row r="26" spans="1:89" ht="15.75" thickBot="1" x14ac:dyDescent="0.3">
      <c r="A26" s="15">
        <v>65</v>
      </c>
      <c r="B26" s="18">
        <v>46</v>
      </c>
      <c r="C26" s="18">
        <v>999</v>
      </c>
      <c r="D26" s="28"/>
      <c r="E26" s="18">
        <v>49</v>
      </c>
      <c r="F26" s="18">
        <v>99</v>
      </c>
      <c r="G26" s="28">
        <v>94</v>
      </c>
      <c r="H26" s="18">
        <v>44</v>
      </c>
      <c r="I26" s="18">
        <v>50</v>
      </c>
      <c r="J26" s="28">
        <v>93</v>
      </c>
      <c r="K26" s="18">
        <v>42</v>
      </c>
      <c r="L26" s="18">
        <v>41</v>
      </c>
      <c r="M26" s="28">
        <v>82.5</v>
      </c>
      <c r="N26" s="18">
        <v>47</v>
      </c>
      <c r="O26" s="18">
        <v>47</v>
      </c>
      <c r="P26" s="28">
        <v>93</v>
      </c>
      <c r="Q26" s="15">
        <v>65</v>
      </c>
      <c r="R26" s="81">
        <v>33</v>
      </c>
      <c r="BW26" s="23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23"/>
    </row>
    <row r="27" spans="1:89" ht="9.75" customHeight="1" thickBot="1" x14ac:dyDescent="0.3">
      <c r="A27" s="15">
        <v>60</v>
      </c>
      <c r="B27" s="18">
        <v>999</v>
      </c>
      <c r="C27" s="18">
        <v>40</v>
      </c>
      <c r="D27" s="28"/>
      <c r="E27" s="18">
        <v>999</v>
      </c>
      <c r="F27" s="18">
        <v>45</v>
      </c>
      <c r="G27" s="28">
        <v>93</v>
      </c>
      <c r="H27" s="18">
        <v>999</v>
      </c>
      <c r="I27" s="18">
        <v>49</v>
      </c>
      <c r="J27" s="28">
        <v>92</v>
      </c>
      <c r="K27" s="18">
        <v>41</v>
      </c>
      <c r="L27" s="18">
        <v>40</v>
      </c>
      <c r="M27" s="28">
        <v>81</v>
      </c>
      <c r="N27" s="18">
        <v>46</v>
      </c>
      <c r="O27" s="18">
        <v>46</v>
      </c>
      <c r="P27" s="28">
        <v>92</v>
      </c>
      <c r="Q27" s="15">
        <v>60</v>
      </c>
      <c r="R27" s="81">
        <v>32</v>
      </c>
      <c r="BW27" s="23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23"/>
    </row>
    <row r="28" spans="1:89" ht="3" customHeight="1" thickBot="1" x14ac:dyDescent="0.3">
      <c r="A28" s="15">
        <v>55</v>
      </c>
      <c r="B28" s="18">
        <v>45</v>
      </c>
      <c r="C28" s="18">
        <v>39</v>
      </c>
      <c r="D28" s="28"/>
      <c r="E28" s="18">
        <v>48</v>
      </c>
      <c r="F28" s="18">
        <v>999</v>
      </c>
      <c r="G28" s="28">
        <v>92</v>
      </c>
      <c r="H28" s="18">
        <v>43</v>
      </c>
      <c r="I28" s="18">
        <v>999</v>
      </c>
      <c r="J28" s="28">
        <v>91</v>
      </c>
      <c r="K28" s="18">
        <v>999</v>
      </c>
      <c r="L28" s="18">
        <v>39</v>
      </c>
      <c r="M28" s="28">
        <v>79.5</v>
      </c>
      <c r="N28" s="18">
        <v>45</v>
      </c>
      <c r="O28" s="18">
        <v>999</v>
      </c>
      <c r="P28" s="28">
        <v>90.5</v>
      </c>
      <c r="Q28" s="15">
        <v>55</v>
      </c>
      <c r="R28" s="81">
        <v>31</v>
      </c>
      <c r="BW28" s="62"/>
      <c r="BX28" s="60"/>
      <c r="BY28" s="60"/>
      <c r="BZ28" s="60"/>
      <c r="CA28" s="60"/>
      <c r="CB28" s="60"/>
      <c r="CC28" s="60"/>
      <c r="CD28" s="60"/>
      <c r="CE28" s="60"/>
      <c r="CF28" s="60"/>
      <c r="CG28" s="60"/>
      <c r="CH28" s="60"/>
      <c r="CI28" s="60"/>
      <c r="CJ28" s="60"/>
      <c r="CK28" s="23"/>
    </row>
    <row r="29" spans="1:89" ht="15.75" thickBot="1" x14ac:dyDescent="0.3">
      <c r="A29" s="15">
        <v>50</v>
      </c>
      <c r="B29" s="18">
        <v>44</v>
      </c>
      <c r="C29" s="18">
        <v>999</v>
      </c>
      <c r="D29" s="28"/>
      <c r="E29" s="18">
        <v>999</v>
      </c>
      <c r="F29" s="18">
        <v>44</v>
      </c>
      <c r="G29" s="28">
        <v>91</v>
      </c>
      <c r="H29" s="18">
        <v>42</v>
      </c>
      <c r="I29" s="18">
        <v>48</v>
      </c>
      <c r="J29" s="28">
        <v>89.5</v>
      </c>
      <c r="K29" s="18">
        <v>40</v>
      </c>
      <c r="L29" s="18">
        <v>999</v>
      </c>
      <c r="M29" s="28">
        <v>78</v>
      </c>
      <c r="N29" s="18">
        <v>999</v>
      </c>
      <c r="O29" s="18">
        <v>45</v>
      </c>
      <c r="P29" s="28">
        <v>89</v>
      </c>
      <c r="Q29" s="15">
        <v>50</v>
      </c>
      <c r="R29" s="81">
        <v>30</v>
      </c>
      <c r="BW29" s="62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23"/>
    </row>
    <row r="30" spans="1:89" ht="25.5" customHeight="1" thickBot="1" x14ac:dyDescent="0.3">
      <c r="A30" s="15">
        <v>45</v>
      </c>
      <c r="B30" s="18">
        <v>999</v>
      </c>
      <c r="C30" s="18">
        <v>38</v>
      </c>
      <c r="D30" s="28"/>
      <c r="E30" s="18">
        <v>47</v>
      </c>
      <c r="F30" s="18">
        <v>43</v>
      </c>
      <c r="G30" s="28">
        <v>90</v>
      </c>
      <c r="H30" s="18">
        <v>41</v>
      </c>
      <c r="I30" s="18">
        <v>999</v>
      </c>
      <c r="J30" s="28">
        <v>88</v>
      </c>
      <c r="K30" s="18">
        <v>39</v>
      </c>
      <c r="L30" s="18">
        <v>38</v>
      </c>
      <c r="M30" s="28">
        <v>76.5</v>
      </c>
      <c r="N30" s="18">
        <v>44</v>
      </c>
      <c r="O30" s="18">
        <v>44</v>
      </c>
      <c r="P30" s="28">
        <v>88</v>
      </c>
      <c r="Q30" s="15">
        <v>45</v>
      </c>
      <c r="R30" s="81">
        <v>29</v>
      </c>
      <c r="BW30" s="23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23"/>
    </row>
    <row r="31" spans="1:89" ht="15.75" thickBot="1" x14ac:dyDescent="0.3">
      <c r="A31" s="15">
        <v>40</v>
      </c>
      <c r="B31" s="18">
        <v>43</v>
      </c>
      <c r="C31" s="18">
        <v>37</v>
      </c>
      <c r="D31" s="28"/>
      <c r="E31" s="18">
        <v>46</v>
      </c>
      <c r="F31" s="18">
        <v>999</v>
      </c>
      <c r="G31" s="28">
        <v>89</v>
      </c>
      <c r="H31" s="18">
        <v>40</v>
      </c>
      <c r="I31" s="18">
        <v>47</v>
      </c>
      <c r="J31" s="28">
        <v>87</v>
      </c>
      <c r="K31" s="18">
        <v>38</v>
      </c>
      <c r="L31" s="18">
        <v>37</v>
      </c>
      <c r="M31" s="28">
        <v>74.5</v>
      </c>
      <c r="N31" s="18">
        <v>43</v>
      </c>
      <c r="O31" s="18">
        <v>999</v>
      </c>
      <c r="P31" s="28">
        <v>87</v>
      </c>
      <c r="Q31" s="15">
        <v>40</v>
      </c>
      <c r="R31" s="81">
        <v>28</v>
      </c>
      <c r="BW31" s="23"/>
      <c r="BX31" s="59"/>
      <c r="BY31" s="59"/>
      <c r="BZ31" s="59"/>
      <c r="CA31" s="59"/>
      <c r="CB31" s="59"/>
      <c r="CC31" s="59"/>
      <c r="CD31" s="59"/>
      <c r="CE31" s="59"/>
      <c r="CF31" s="59"/>
      <c r="CG31" s="59"/>
      <c r="CH31" s="59"/>
      <c r="CI31" s="59"/>
      <c r="CJ31" s="59"/>
      <c r="CK31" s="23"/>
    </row>
    <row r="32" spans="1:89" ht="15.75" thickBot="1" x14ac:dyDescent="0.3">
      <c r="A32" s="15">
        <v>35</v>
      </c>
      <c r="B32" s="18">
        <v>42</v>
      </c>
      <c r="C32" s="18">
        <v>999</v>
      </c>
      <c r="D32" s="28"/>
      <c r="E32" s="18">
        <v>999</v>
      </c>
      <c r="F32" s="18">
        <v>42</v>
      </c>
      <c r="G32" s="28">
        <v>88</v>
      </c>
      <c r="H32" s="18">
        <v>39</v>
      </c>
      <c r="I32" s="18">
        <v>46</v>
      </c>
      <c r="J32" s="28">
        <v>86</v>
      </c>
      <c r="K32" s="18">
        <v>37</v>
      </c>
      <c r="L32" s="18">
        <v>36</v>
      </c>
      <c r="M32" s="28">
        <v>73</v>
      </c>
      <c r="N32" s="18">
        <v>42</v>
      </c>
      <c r="O32" s="18">
        <v>43</v>
      </c>
      <c r="P32" s="28">
        <v>85.5</v>
      </c>
      <c r="Q32" s="15">
        <v>35</v>
      </c>
      <c r="R32" s="81">
        <v>27</v>
      </c>
      <c r="BW32" s="23"/>
      <c r="BX32" s="59"/>
      <c r="BY32" s="59"/>
      <c r="BZ32" s="59"/>
      <c r="CA32" s="59"/>
      <c r="CB32" s="59"/>
      <c r="CC32" s="59"/>
      <c r="CD32" s="59"/>
      <c r="CE32" s="59"/>
      <c r="CF32" s="59"/>
      <c r="CG32" s="59"/>
      <c r="CH32" s="59"/>
      <c r="CI32" s="59"/>
      <c r="CJ32" s="59"/>
      <c r="CK32" s="23"/>
    </row>
    <row r="33" spans="1:89" ht="15.75" thickBot="1" x14ac:dyDescent="0.3">
      <c r="A33" s="15">
        <v>30</v>
      </c>
      <c r="B33" s="18">
        <v>999</v>
      </c>
      <c r="C33" s="18">
        <v>36</v>
      </c>
      <c r="D33" s="28"/>
      <c r="E33" s="18">
        <v>45</v>
      </c>
      <c r="F33" s="18">
        <v>41</v>
      </c>
      <c r="G33" s="28">
        <v>87</v>
      </c>
      <c r="H33" s="18">
        <v>999</v>
      </c>
      <c r="I33" s="18">
        <v>45</v>
      </c>
      <c r="J33" s="28">
        <v>84.5</v>
      </c>
      <c r="K33" s="18">
        <v>36</v>
      </c>
      <c r="L33" s="18">
        <v>35</v>
      </c>
      <c r="M33" s="28">
        <v>71.5</v>
      </c>
      <c r="N33" s="18">
        <v>41</v>
      </c>
      <c r="O33" s="18">
        <v>42</v>
      </c>
      <c r="P33" s="28">
        <v>84</v>
      </c>
      <c r="Q33" s="15">
        <v>30</v>
      </c>
      <c r="R33" s="81">
        <v>26</v>
      </c>
      <c r="BW33" s="23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23"/>
    </row>
    <row r="34" spans="1:89" ht="15.75" thickBot="1" x14ac:dyDescent="0.3">
      <c r="A34" s="15">
        <v>25</v>
      </c>
      <c r="B34" s="18">
        <v>41</v>
      </c>
      <c r="C34" s="18">
        <v>35</v>
      </c>
      <c r="D34" s="28"/>
      <c r="E34" s="18">
        <v>44</v>
      </c>
      <c r="F34" s="18">
        <v>40</v>
      </c>
      <c r="G34" s="28">
        <v>85.5</v>
      </c>
      <c r="H34" s="18">
        <v>37.5</v>
      </c>
      <c r="I34" s="18">
        <v>44</v>
      </c>
      <c r="J34" s="28">
        <v>83</v>
      </c>
      <c r="K34" s="18">
        <v>35</v>
      </c>
      <c r="L34" s="18">
        <v>33.5</v>
      </c>
      <c r="M34" s="28">
        <v>69.5</v>
      </c>
      <c r="N34" s="18">
        <v>40</v>
      </c>
      <c r="O34" s="18">
        <v>41</v>
      </c>
      <c r="P34" s="28">
        <v>82.5</v>
      </c>
      <c r="Q34" s="15">
        <v>25</v>
      </c>
      <c r="R34" s="81">
        <v>25</v>
      </c>
      <c r="BW34" s="23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3"/>
    </row>
    <row r="35" spans="1:89" ht="15.75" thickBot="1" x14ac:dyDescent="0.3">
      <c r="A35" s="15">
        <v>20</v>
      </c>
      <c r="B35" s="18">
        <v>39.5</v>
      </c>
      <c r="C35" s="18">
        <v>34</v>
      </c>
      <c r="D35" s="28"/>
      <c r="E35" s="18">
        <v>999</v>
      </c>
      <c r="F35" s="18">
        <v>999</v>
      </c>
      <c r="G35" s="28">
        <v>84</v>
      </c>
      <c r="H35" s="18">
        <v>36</v>
      </c>
      <c r="I35" s="18">
        <v>43</v>
      </c>
      <c r="J35" s="28">
        <v>81.5</v>
      </c>
      <c r="K35" s="18">
        <v>34</v>
      </c>
      <c r="L35" s="18">
        <v>32</v>
      </c>
      <c r="M35" s="28">
        <v>67</v>
      </c>
      <c r="N35" s="18">
        <v>38.5</v>
      </c>
      <c r="O35" s="18">
        <v>40</v>
      </c>
      <c r="P35" s="28">
        <v>80.5</v>
      </c>
      <c r="Q35" s="15">
        <v>20</v>
      </c>
      <c r="R35" s="81">
        <v>24</v>
      </c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</row>
    <row r="36" spans="1:89" ht="15.75" thickBot="1" x14ac:dyDescent="0.3">
      <c r="A36" s="15">
        <v>15</v>
      </c>
      <c r="B36" s="18">
        <v>38</v>
      </c>
      <c r="C36" s="18">
        <v>33</v>
      </c>
      <c r="D36" s="28"/>
      <c r="E36" s="18">
        <v>42.5</v>
      </c>
      <c r="F36" s="18">
        <v>38.5</v>
      </c>
      <c r="G36" s="28">
        <v>82.5</v>
      </c>
      <c r="H36" s="18">
        <v>35</v>
      </c>
      <c r="I36" s="18">
        <v>42</v>
      </c>
      <c r="J36" s="28">
        <v>79.5</v>
      </c>
      <c r="K36" s="18">
        <v>32.5</v>
      </c>
      <c r="L36" s="18">
        <v>30.5</v>
      </c>
      <c r="M36" s="28">
        <v>64</v>
      </c>
      <c r="N36" s="18">
        <v>37</v>
      </c>
      <c r="O36" s="18">
        <v>39</v>
      </c>
      <c r="P36" s="28">
        <v>78</v>
      </c>
      <c r="Q36" s="15">
        <v>15</v>
      </c>
      <c r="R36" s="81">
        <v>22.5</v>
      </c>
    </row>
    <row r="37" spans="1:89" ht="15.75" thickBot="1" x14ac:dyDescent="0.3">
      <c r="A37" s="15">
        <v>10</v>
      </c>
      <c r="B37" s="18">
        <v>36.5</v>
      </c>
      <c r="C37" s="18">
        <v>31.5</v>
      </c>
      <c r="D37" s="28"/>
      <c r="E37" s="18">
        <v>41</v>
      </c>
      <c r="F37" s="18">
        <v>37</v>
      </c>
      <c r="G37" s="28">
        <v>80.5</v>
      </c>
      <c r="H37" s="18">
        <v>33.5</v>
      </c>
      <c r="I37" s="18">
        <v>40.5</v>
      </c>
      <c r="J37" s="28">
        <v>77.5</v>
      </c>
      <c r="K37" s="18">
        <v>30.5</v>
      </c>
      <c r="L37" s="18">
        <v>28.5</v>
      </c>
      <c r="M37" s="28">
        <v>60.5</v>
      </c>
      <c r="N37" s="18">
        <v>35</v>
      </c>
      <c r="O37" s="18">
        <v>37.5</v>
      </c>
      <c r="P37" s="28">
        <v>74.5</v>
      </c>
      <c r="Q37" s="15">
        <v>10</v>
      </c>
      <c r="R37" s="81">
        <v>20.5</v>
      </c>
    </row>
    <row r="38" spans="1:89" ht="15.75" thickBot="1" x14ac:dyDescent="0.3">
      <c r="A38" s="15">
        <v>5</v>
      </c>
      <c r="B38" s="18">
        <v>34.5</v>
      </c>
      <c r="C38" s="18">
        <v>30</v>
      </c>
      <c r="D38" s="28"/>
      <c r="E38" s="18">
        <v>39.5</v>
      </c>
      <c r="F38" s="18">
        <v>36</v>
      </c>
      <c r="G38" s="28">
        <v>78.5</v>
      </c>
      <c r="H38" s="18">
        <v>31.5</v>
      </c>
      <c r="I38" s="18">
        <v>39</v>
      </c>
      <c r="J38" s="28">
        <v>75</v>
      </c>
      <c r="K38" s="18">
        <v>28.5</v>
      </c>
      <c r="L38" s="18">
        <v>26.5</v>
      </c>
      <c r="M38" s="28">
        <v>56.5</v>
      </c>
      <c r="N38" s="18">
        <v>32.5</v>
      </c>
      <c r="O38" s="18">
        <v>36</v>
      </c>
      <c r="P38" s="28">
        <v>71.400000000000006</v>
      </c>
      <c r="Q38" s="15">
        <v>5</v>
      </c>
      <c r="R38" s="81">
        <v>18.5</v>
      </c>
    </row>
    <row r="39" spans="1:89" ht="15.75" thickBot="1" x14ac:dyDescent="0.3">
      <c r="A39" s="15">
        <v>4</v>
      </c>
      <c r="B39" s="18">
        <v>33</v>
      </c>
      <c r="C39" s="18">
        <v>999</v>
      </c>
      <c r="D39" s="28"/>
      <c r="E39" s="18">
        <v>999</v>
      </c>
      <c r="F39" s="18">
        <v>35</v>
      </c>
      <c r="G39" s="28">
        <v>76.5</v>
      </c>
      <c r="H39" s="18">
        <v>30.5</v>
      </c>
      <c r="I39" s="18">
        <v>38</v>
      </c>
      <c r="J39" s="28">
        <v>72.5</v>
      </c>
      <c r="K39" s="18">
        <v>27</v>
      </c>
      <c r="L39" s="18">
        <v>25</v>
      </c>
      <c r="M39" s="28">
        <v>53.4</v>
      </c>
      <c r="N39" s="18">
        <v>32</v>
      </c>
      <c r="O39" s="18">
        <v>35</v>
      </c>
      <c r="P39" s="28">
        <v>69.5</v>
      </c>
      <c r="Q39" s="15">
        <v>4</v>
      </c>
      <c r="R39" s="81">
        <v>17</v>
      </c>
    </row>
    <row r="40" spans="1:89" ht="15.75" thickBot="1" x14ac:dyDescent="0.3">
      <c r="A40" s="15">
        <v>3</v>
      </c>
      <c r="B40" s="18">
        <v>999</v>
      </c>
      <c r="C40" s="18">
        <v>29</v>
      </c>
      <c r="D40" s="28"/>
      <c r="E40" s="18">
        <v>38</v>
      </c>
      <c r="F40" s="18">
        <v>34</v>
      </c>
      <c r="G40" s="28">
        <v>74.5</v>
      </c>
      <c r="H40" s="18">
        <v>999</v>
      </c>
      <c r="I40" s="18">
        <v>37</v>
      </c>
      <c r="J40" s="28">
        <v>71</v>
      </c>
      <c r="K40" s="18">
        <v>25.5</v>
      </c>
      <c r="L40" s="18">
        <v>24</v>
      </c>
      <c r="M40" s="28">
        <v>52</v>
      </c>
      <c r="N40" s="18">
        <v>30.5</v>
      </c>
      <c r="O40" s="18">
        <v>34</v>
      </c>
      <c r="P40" s="28">
        <v>67.5</v>
      </c>
      <c r="Q40" s="15">
        <v>3</v>
      </c>
      <c r="R40" s="81">
        <v>16</v>
      </c>
    </row>
    <row r="41" spans="1:89" ht="15.75" thickBot="1" x14ac:dyDescent="0.3">
      <c r="A41" s="15">
        <v>2</v>
      </c>
      <c r="B41" s="18">
        <v>32</v>
      </c>
      <c r="C41" s="18">
        <v>28</v>
      </c>
      <c r="D41" s="28"/>
      <c r="E41" s="18">
        <v>36.5</v>
      </c>
      <c r="F41" s="18">
        <v>32.5</v>
      </c>
      <c r="G41" s="28">
        <v>72.5</v>
      </c>
      <c r="H41" s="18">
        <v>28</v>
      </c>
      <c r="I41" s="18">
        <v>35.5</v>
      </c>
      <c r="J41" s="28">
        <v>69.2</v>
      </c>
      <c r="K41" s="18">
        <v>23</v>
      </c>
      <c r="L41" s="18">
        <v>22.5</v>
      </c>
      <c r="M41" s="28">
        <v>48.5</v>
      </c>
      <c r="N41" s="18">
        <v>29</v>
      </c>
      <c r="O41" s="18">
        <v>33</v>
      </c>
      <c r="P41" s="28">
        <v>65</v>
      </c>
      <c r="Q41" s="15">
        <v>2</v>
      </c>
      <c r="R41" s="81">
        <v>15</v>
      </c>
    </row>
    <row r="42" spans="1:89" ht="15.75" thickBot="1" x14ac:dyDescent="0.3">
      <c r="A42" s="15">
        <v>1</v>
      </c>
      <c r="B42" s="19">
        <v>31</v>
      </c>
      <c r="C42" s="19">
        <v>27</v>
      </c>
      <c r="D42" s="28"/>
      <c r="E42" s="19">
        <v>35</v>
      </c>
      <c r="F42" s="79">
        <v>31</v>
      </c>
      <c r="G42" s="28">
        <v>71</v>
      </c>
      <c r="H42" s="19">
        <v>25</v>
      </c>
      <c r="I42" s="19">
        <v>34</v>
      </c>
      <c r="J42" s="28">
        <v>66</v>
      </c>
      <c r="K42" s="19">
        <v>20</v>
      </c>
      <c r="L42" s="19">
        <v>21</v>
      </c>
      <c r="M42" s="28">
        <v>45.4</v>
      </c>
      <c r="N42" s="19">
        <v>28</v>
      </c>
      <c r="O42" s="19">
        <v>32</v>
      </c>
      <c r="P42" s="28">
        <v>62.5</v>
      </c>
      <c r="Q42" s="15">
        <v>1</v>
      </c>
      <c r="R42" s="81">
        <v>14</v>
      </c>
    </row>
    <row r="43" spans="1:89" ht="15.75" thickBot="1" x14ac:dyDescent="0.3"/>
    <row r="44" spans="1:89" ht="15.75" thickBot="1" x14ac:dyDescent="0.3">
      <c r="C44" t="s">
        <v>163</v>
      </c>
      <c r="D44" s="80" t="s">
        <v>182</v>
      </c>
    </row>
    <row r="45" spans="1:89" ht="15.75" thickBot="1" x14ac:dyDescent="0.3">
      <c r="C45" s="14">
        <v>99</v>
      </c>
      <c r="D45" s="28">
        <v>103</v>
      </c>
    </row>
    <row r="46" spans="1:89" ht="15.75" thickBot="1" x14ac:dyDescent="0.3">
      <c r="C46" s="15">
        <v>98</v>
      </c>
      <c r="D46" s="28">
        <v>102</v>
      </c>
    </row>
    <row r="47" spans="1:89" ht="15.75" thickBot="1" x14ac:dyDescent="0.3">
      <c r="C47" s="15">
        <v>97</v>
      </c>
      <c r="D47" s="28">
        <v>100.5</v>
      </c>
    </row>
    <row r="48" spans="1:89" ht="15.75" thickBot="1" x14ac:dyDescent="0.3">
      <c r="C48" s="15">
        <v>96</v>
      </c>
      <c r="D48" s="28">
        <v>99</v>
      </c>
    </row>
    <row r="49" spans="3:4" ht="15.75" thickBot="1" x14ac:dyDescent="0.3">
      <c r="C49" s="15">
        <v>95</v>
      </c>
      <c r="D49" s="28">
        <v>97.5</v>
      </c>
    </row>
    <row r="50" spans="3:4" ht="15.75" thickBot="1" x14ac:dyDescent="0.3">
      <c r="C50" s="15">
        <v>90</v>
      </c>
      <c r="D50" s="81">
        <v>95.5</v>
      </c>
    </row>
    <row r="51" spans="3:4" x14ac:dyDescent="0.25">
      <c r="C51" s="82">
        <v>90</v>
      </c>
      <c r="D51" s="31">
        <v>94.5</v>
      </c>
    </row>
    <row r="52" spans="3:4" ht="15.75" thickBot="1" x14ac:dyDescent="0.3">
      <c r="C52" s="15">
        <v>85</v>
      </c>
      <c r="D52" s="81">
        <v>91.5</v>
      </c>
    </row>
    <row r="53" spans="3:4" ht="15.75" thickBot="1" x14ac:dyDescent="0.3">
      <c r="C53" s="15">
        <v>80</v>
      </c>
      <c r="D53" s="81">
        <v>90.5</v>
      </c>
    </row>
    <row r="54" spans="3:4" ht="15.75" thickBot="1" x14ac:dyDescent="0.3">
      <c r="C54" s="15">
        <v>75</v>
      </c>
      <c r="D54" s="28">
        <v>89</v>
      </c>
    </row>
    <row r="55" spans="3:4" ht="15.75" thickBot="1" x14ac:dyDescent="0.3">
      <c r="C55" s="15">
        <v>70</v>
      </c>
      <c r="D55" s="28">
        <v>87.5</v>
      </c>
    </row>
    <row r="56" spans="3:4" ht="15.75" thickBot="1" x14ac:dyDescent="0.3">
      <c r="C56" s="15">
        <v>65</v>
      </c>
      <c r="D56" s="28">
        <v>86</v>
      </c>
    </row>
    <row r="57" spans="3:4" ht="15.75" thickBot="1" x14ac:dyDescent="0.3">
      <c r="C57" s="15">
        <v>60</v>
      </c>
      <c r="D57" s="28">
        <v>85</v>
      </c>
    </row>
    <row r="58" spans="3:4" ht="15.75" thickBot="1" x14ac:dyDescent="0.3">
      <c r="C58" s="15">
        <v>55</v>
      </c>
      <c r="D58" s="28">
        <v>83.5</v>
      </c>
    </row>
    <row r="59" spans="3:4" ht="15.75" thickBot="1" x14ac:dyDescent="0.3">
      <c r="C59" s="15">
        <v>50</v>
      </c>
      <c r="D59" s="28">
        <v>82</v>
      </c>
    </row>
    <row r="60" spans="3:4" ht="15.75" thickBot="1" x14ac:dyDescent="0.3">
      <c r="C60" s="15">
        <v>45</v>
      </c>
      <c r="D60" s="28">
        <v>999</v>
      </c>
    </row>
    <row r="61" spans="3:4" ht="15.75" thickBot="1" x14ac:dyDescent="0.3">
      <c r="C61" s="15">
        <v>40</v>
      </c>
      <c r="D61" s="28">
        <v>80.5</v>
      </c>
    </row>
    <row r="62" spans="3:4" ht="15.75" thickBot="1" x14ac:dyDescent="0.3">
      <c r="C62" s="15">
        <v>35</v>
      </c>
      <c r="D62" s="28">
        <v>79</v>
      </c>
    </row>
    <row r="63" spans="3:4" ht="15.75" thickBot="1" x14ac:dyDescent="0.3">
      <c r="C63" s="15">
        <v>30</v>
      </c>
      <c r="D63" s="28">
        <v>78</v>
      </c>
    </row>
    <row r="64" spans="3:4" ht="15.75" thickBot="1" x14ac:dyDescent="0.3">
      <c r="C64" s="15">
        <v>25</v>
      </c>
      <c r="D64" s="28">
        <v>76.5</v>
      </c>
    </row>
    <row r="65" spans="3:4" ht="15.75" thickBot="1" x14ac:dyDescent="0.3">
      <c r="C65" s="15">
        <v>20</v>
      </c>
      <c r="D65" s="28">
        <v>74.5</v>
      </c>
    </row>
    <row r="66" spans="3:4" ht="15.75" thickBot="1" x14ac:dyDescent="0.3">
      <c r="C66" s="15">
        <v>15</v>
      </c>
      <c r="D66" s="28">
        <v>72.5</v>
      </c>
    </row>
    <row r="67" spans="3:4" ht="15.75" thickBot="1" x14ac:dyDescent="0.3">
      <c r="C67" s="15">
        <v>10</v>
      </c>
      <c r="D67" s="28">
        <v>70</v>
      </c>
    </row>
    <row r="68" spans="3:4" ht="15.75" thickBot="1" x14ac:dyDescent="0.3">
      <c r="C68" s="15">
        <v>5</v>
      </c>
      <c r="D68" s="28">
        <v>67.5</v>
      </c>
    </row>
    <row r="69" spans="3:4" ht="15.75" thickBot="1" x14ac:dyDescent="0.3">
      <c r="C69" s="15">
        <v>4</v>
      </c>
      <c r="D69" s="28">
        <v>66</v>
      </c>
    </row>
    <row r="70" spans="3:4" ht="15.75" thickBot="1" x14ac:dyDescent="0.3">
      <c r="C70" s="15">
        <v>3</v>
      </c>
      <c r="D70" s="28">
        <v>65</v>
      </c>
    </row>
    <row r="71" spans="3:4" ht="15.75" thickBot="1" x14ac:dyDescent="0.3">
      <c r="C71" s="15">
        <v>2</v>
      </c>
      <c r="D71" s="28">
        <v>63.5</v>
      </c>
    </row>
    <row r="72" spans="3:4" ht="15.75" thickBot="1" x14ac:dyDescent="0.3">
      <c r="C72" s="15">
        <v>1</v>
      </c>
      <c r="D72" s="28">
        <v>62</v>
      </c>
    </row>
  </sheetData>
  <sheetProtection selectLockedCells="1" selectUnlockedCells="1"/>
  <pageMargins left="0.7" right="0.7" top="0.75" bottom="0.75" header="0.3" footer="0.3"/>
  <pageSetup paperSize="9" orientation="portrait" horizontalDpi="4294967292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M293"/>
  <sheetViews>
    <sheetView tabSelected="1" view="pageLayout" topLeftCell="A19" zoomScale="90" zoomScalePageLayoutView="90" workbookViewId="0">
      <selection activeCell="B21" sqref="B21"/>
    </sheetView>
  </sheetViews>
  <sheetFormatPr baseColWidth="10" defaultRowHeight="15" x14ac:dyDescent="0.25"/>
  <cols>
    <col min="1" max="1" width="7.5703125" customWidth="1"/>
    <col min="2" max="2" width="15.5703125" customWidth="1"/>
    <col min="3" max="3" width="4.7109375" customWidth="1"/>
    <col min="4" max="4" width="5.140625" customWidth="1"/>
    <col min="5" max="5" width="4.7109375" customWidth="1"/>
  </cols>
  <sheetData>
    <row r="1" spans="1:10" ht="28.5" x14ac:dyDescent="0.3">
      <c r="A1" s="137" t="s">
        <v>158</v>
      </c>
      <c r="B1" s="137"/>
      <c r="C1" s="137"/>
      <c r="D1" s="137"/>
      <c r="E1" s="137"/>
      <c r="F1" s="137"/>
      <c r="G1" s="137"/>
      <c r="H1" s="85" t="s">
        <v>206</v>
      </c>
      <c r="I1" s="23"/>
    </row>
    <row r="2" spans="1:10" x14ac:dyDescent="0.25">
      <c r="A2" s="5"/>
      <c r="B2" s="5"/>
      <c r="C2" s="5"/>
      <c r="D2" s="5"/>
      <c r="E2" s="5"/>
      <c r="F2" s="5"/>
      <c r="G2" s="34"/>
      <c r="H2" s="72"/>
      <c r="I2" s="73"/>
    </row>
    <row r="3" spans="1:10" x14ac:dyDescent="0.25">
      <c r="A3" s="141" t="s">
        <v>209</v>
      </c>
      <c r="B3" s="142"/>
      <c r="C3" s="143"/>
      <c r="D3" s="144" t="str">
        <f>Datos!E3</f>
        <v>Jorge Nestor Limachi Llanos</v>
      </c>
      <c r="E3" s="145"/>
      <c r="F3" s="145"/>
      <c r="G3" s="146"/>
      <c r="H3" s="74"/>
      <c r="I3" s="73"/>
    </row>
    <row r="4" spans="1:10" x14ac:dyDescent="0.25">
      <c r="A4" s="138"/>
      <c r="B4" s="139"/>
      <c r="C4" s="140"/>
      <c r="D4" s="5"/>
      <c r="E4" s="5"/>
      <c r="F4" s="5"/>
      <c r="G4" s="5"/>
      <c r="H4" s="72"/>
      <c r="I4" s="73"/>
    </row>
    <row r="5" spans="1:10" x14ac:dyDescent="0.25">
      <c r="A5" s="141" t="s">
        <v>159</v>
      </c>
      <c r="B5" s="142"/>
      <c r="C5" s="143"/>
      <c r="D5" s="144" t="str">
        <f>"MED"&amp;Datos!D3</f>
        <v>MED7966023</v>
      </c>
      <c r="E5" s="145"/>
      <c r="F5" s="145"/>
      <c r="G5" s="146"/>
      <c r="H5" s="74"/>
      <c r="I5" s="73"/>
    </row>
    <row r="6" spans="1:10" x14ac:dyDescent="0.25">
      <c r="A6" s="5"/>
      <c r="B6" s="5"/>
      <c r="C6" s="5"/>
      <c r="D6" s="5"/>
      <c r="E6" s="5"/>
      <c r="F6" s="5"/>
      <c r="G6" s="34"/>
      <c r="H6" s="72"/>
      <c r="I6" s="73"/>
    </row>
    <row r="7" spans="1:10" ht="16.5" customHeight="1" x14ac:dyDescent="0.25">
      <c r="A7" s="141" t="s">
        <v>161</v>
      </c>
      <c r="B7" s="142"/>
      <c r="C7" s="143"/>
      <c r="D7" s="147">
        <f>Datos!C3</f>
        <v>1997</v>
      </c>
      <c r="E7" s="148"/>
      <c r="F7" s="87" t="s">
        <v>160</v>
      </c>
      <c r="G7" s="42" t="str">
        <f>Datos!F3</f>
        <v>Hombre</v>
      </c>
      <c r="H7" s="35"/>
      <c r="I7" s="23"/>
    </row>
    <row r="8" spans="1:10" x14ac:dyDescent="0.25">
      <c r="B8" s="5"/>
      <c r="C8" s="5"/>
      <c r="D8" s="5"/>
      <c r="E8" s="5"/>
      <c r="F8" s="5"/>
      <c r="G8" s="5"/>
      <c r="H8" s="34"/>
      <c r="I8" s="5"/>
      <c r="J8" s="36"/>
    </row>
    <row r="9" spans="1:10" ht="19.5" customHeight="1" x14ac:dyDescent="0.4">
      <c r="A9" s="134" t="s">
        <v>187</v>
      </c>
      <c r="B9" s="134"/>
      <c r="C9" s="135"/>
      <c r="D9" s="37" t="s">
        <v>0</v>
      </c>
      <c r="E9" s="43" t="s">
        <v>188</v>
      </c>
      <c r="F9" s="5"/>
      <c r="G9" s="5"/>
      <c r="H9" s="5"/>
      <c r="I9" s="5"/>
    </row>
    <row r="10" spans="1:10" ht="23.25" customHeight="1" x14ac:dyDescent="0.25">
      <c r="A10" s="113" t="s">
        <v>142</v>
      </c>
      <c r="B10" s="113"/>
      <c r="C10" s="44" t="s">
        <v>182</v>
      </c>
      <c r="D10" s="39">
        <f>cal_mas!A11</f>
        <v>87</v>
      </c>
      <c r="E10" s="45">
        <f>cal_mas!B11</f>
        <v>70</v>
      </c>
      <c r="F10" s="5"/>
      <c r="G10" s="5"/>
      <c r="H10" s="5"/>
      <c r="I10" s="5"/>
    </row>
    <row r="11" spans="1:10" ht="23.25" customHeight="1" x14ac:dyDescent="0.25">
      <c r="A11" s="113" t="s">
        <v>145</v>
      </c>
      <c r="B11" s="113"/>
      <c r="C11" s="44" t="s">
        <v>166</v>
      </c>
      <c r="D11" s="40">
        <f>cal_mas!D11</f>
        <v>77</v>
      </c>
      <c r="E11" s="46">
        <f>cal_mas!E11</f>
        <v>10</v>
      </c>
      <c r="F11" s="5"/>
      <c r="G11" s="5"/>
      <c r="H11" s="5"/>
      <c r="I11" s="5"/>
    </row>
    <row r="12" spans="1:10" ht="23.25" customHeight="1" x14ac:dyDescent="0.25">
      <c r="A12" s="113" t="s">
        <v>148</v>
      </c>
      <c r="B12" s="113"/>
      <c r="C12" s="44" t="s">
        <v>183</v>
      </c>
      <c r="D12" s="40">
        <f>cal_mas!G11</f>
        <v>71</v>
      </c>
      <c r="E12" s="46">
        <f>cal_mas!H11</f>
        <v>10</v>
      </c>
      <c r="F12" s="5"/>
      <c r="G12" s="5"/>
      <c r="H12" s="5"/>
      <c r="I12" s="5"/>
    </row>
    <row r="13" spans="1:10" ht="23.25" customHeight="1" x14ac:dyDescent="0.25">
      <c r="A13" s="113" t="s">
        <v>151</v>
      </c>
      <c r="B13" s="113"/>
      <c r="C13" s="44" t="s">
        <v>184</v>
      </c>
      <c r="D13" s="41">
        <f>cal_mas!J11</f>
        <v>55</v>
      </c>
      <c r="E13" s="47">
        <f>cal_mas!K11</f>
        <v>4</v>
      </c>
      <c r="F13" s="5"/>
      <c r="G13" s="5"/>
      <c r="H13" s="5"/>
      <c r="I13" s="5"/>
    </row>
    <row r="14" spans="1:10" ht="23.25" customHeight="1" x14ac:dyDescent="0.25">
      <c r="A14" s="149" t="s">
        <v>189</v>
      </c>
      <c r="B14" s="149"/>
      <c r="C14" s="48" t="s">
        <v>185</v>
      </c>
      <c r="D14" s="35">
        <f>cal_mas!M11</f>
        <v>87</v>
      </c>
      <c r="E14" s="49">
        <f>cal_mas!N11</f>
        <v>45</v>
      </c>
      <c r="F14" s="5"/>
      <c r="G14" s="5"/>
      <c r="H14" s="5"/>
      <c r="I14" s="5"/>
    </row>
    <row r="15" spans="1:10" x14ac:dyDescent="0.25">
      <c r="A15" s="5"/>
      <c r="B15" s="5"/>
      <c r="C15" s="5"/>
      <c r="D15" s="5"/>
      <c r="E15" s="5"/>
      <c r="F15" s="5"/>
      <c r="G15" s="5"/>
      <c r="H15" s="5"/>
      <c r="I15" s="5"/>
    </row>
    <row r="16" spans="1:10" ht="18.75" x14ac:dyDescent="0.4">
      <c r="A16" s="134" t="s">
        <v>187</v>
      </c>
      <c r="B16" s="134"/>
      <c r="C16" s="135"/>
      <c r="D16" s="50" t="s">
        <v>0</v>
      </c>
      <c r="E16" s="51" t="s">
        <v>188</v>
      </c>
      <c r="F16" s="38"/>
      <c r="G16" s="38"/>
      <c r="H16" s="38"/>
      <c r="I16" s="38"/>
    </row>
    <row r="17" spans="1:9" ht="9.75" customHeight="1" x14ac:dyDescent="0.25">
      <c r="A17" s="5"/>
      <c r="B17" s="5"/>
      <c r="C17" s="5"/>
      <c r="D17" s="5"/>
      <c r="E17" s="5"/>
      <c r="F17" s="5"/>
      <c r="G17" s="5"/>
      <c r="H17" s="5"/>
      <c r="I17" s="5"/>
    </row>
    <row r="18" spans="1:9" x14ac:dyDescent="0.25">
      <c r="A18" s="136" t="s">
        <v>155</v>
      </c>
      <c r="B18" s="136"/>
      <c r="C18" s="52" t="s">
        <v>186</v>
      </c>
      <c r="D18" s="39">
        <f>cal_mas!P11</f>
        <v>32</v>
      </c>
      <c r="E18" s="45">
        <f>cal_mas!Q11</f>
        <v>70</v>
      </c>
      <c r="F18" s="5"/>
      <c r="G18" s="5"/>
      <c r="H18" s="5"/>
      <c r="I18" s="5"/>
    </row>
    <row r="19" spans="1:9" ht="15.75" thickBot="1" x14ac:dyDescent="0.3">
      <c r="A19" s="67"/>
      <c r="B19" s="56"/>
      <c r="C19" s="56"/>
      <c r="D19" s="56"/>
      <c r="E19" s="53"/>
      <c r="F19" s="5"/>
      <c r="G19" s="5"/>
      <c r="H19" s="5"/>
      <c r="I19" s="5"/>
    </row>
    <row r="20" spans="1:9" x14ac:dyDescent="0.25">
      <c r="A20" s="156" t="s">
        <v>190</v>
      </c>
      <c r="B20" s="36"/>
      <c r="C20" s="5"/>
      <c r="D20" s="5"/>
      <c r="E20" s="5"/>
      <c r="F20" s="5"/>
      <c r="G20" s="5"/>
      <c r="H20" s="5"/>
      <c r="I20" s="5"/>
    </row>
    <row r="21" spans="1:9" x14ac:dyDescent="0.25">
      <c r="A21" s="157"/>
      <c r="B21" s="36" t="s">
        <v>140</v>
      </c>
      <c r="C21" s="63" t="s">
        <v>164</v>
      </c>
      <c r="D21" s="39">
        <f>cal_mas!A8</f>
        <v>48</v>
      </c>
      <c r="E21" s="45">
        <f>cal_mas!A9</f>
        <v>85</v>
      </c>
      <c r="F21" s="5"/>
      <c r="G21" s="5"/>
      <c r="H21" s="5"/>
      <c r="I21" s="5"/>
    </row>
    <row r="22" spans="1:9" x14ac:dyDescent="0.25">
      <c r="A22" s="157"/>
      <c r="B22" s="36" t="s">
        <v>141</v>
      </c>
      <c r="C22" s="63" t="s">
        <v>167</v>
      </c>
      <c r="D22" s="39">
        <f>cal_mas!B8</f>
        <v>39</v>
      </c>
      <c r="E22" s="45">
        <f>cal_mas!B9</f>
        <v>45</v>
      </c>
      <c r="F22" s="5"/>
      <c r="G22" s="5"/>
      <c r="H22" s="5"/>
      <c r="I22" s="5"/>
    </row>
    <row r="23" spans="1:9" ht="15.75" thickBot="1" x14ac:dyDescent="0.3">
      <c r="A23" s="158"/>
      <c r="B23" s="53"/>
      <c r="C23" s="69"/>
      <c r="D23" s="56"/>
      <c r="E23" s="53"/>
      <c r="F23" s="5"/>
      <c r="G23" s="5"/>
      <c r="H23" s="5"/>
      <c r="I23" s="5"/>
    </row>
    <row r="24" spans="1:9" x14ac:dyDescent="0.25">
      <c r="A24" s="163" t="s">
        <v>191</v>
      </c>
      <c r="B24" s="36"/>
      <c r="C24" s="63"/>
      <c r="D24" s="5"/>
      <c r="E24" s="5"/>
      <c r="F24" s="5"/>
      <c r="G24" s="5"/>
      <c r="H24" s="5"/>
      <c r="I24" s="5"/>
    </row>
    <row r="25" spans="1:9" x14ac:dyDescent="0.25">
      <c r="A25" s="164"/>
      <c r="B25" s="36" t="s">
        <v>143</v>
      </c>
      <c r="C25" s="63" t="s">
        <v>168</v>
      </c>
      <c r="D25" s="39">
        <f>cal_mas!D8</f>
        <v>37</v>
      </c>
      <c r="E25" s="45">
        <f>cal_mas!D9</f>
        <v>4</v>
      </c>
      <c r="F25" s="5"/>
      <c r="G25" s="5"/>
      <c r="H25" s="5"/>
      <c r="I25" s="5"/>
    </row>
    <row r="26" spans="1:9" x14ac:dyDescent="0.25">
      <c r="A26" s="164"/>
      <c r="B26" s="36" t="s">
        <v>144</v>
      </c>
      <c r="C26" s="63" t="s">
        <v>169</v>
      </c>
      <c r="D26" s="39">
        <f>cal_mas!E8</f>
        <v>40</v>
      </c>
      <c r="E26" s="45">
        <f>cal_mas!E9</f>
        <v>35</v>
      </c>
      <c r="F26" s="5"/>
      <c r="G26" s="5"/>
      <c r="H26" s="5"/>
      <c r="I26" s="5"/>
    </row>
    <row r="27" spans="1:9" ht="15.75" thickBot="1" x14ac:dyDescent="0.3">
      <c r="A27" s="165"/>
      <c r="B27" s="53"/>
      <c r="C27" s="69"/>
      <c r="D27" s="56"/>
      <c r="E27" s="53"/>
      <c r="F27" s="5"/>
      <c r="G27" s="5"/>
      <c r="H27" s="5"/>
      <c r="I27" s="5"/>
    </row>
    <row r="28" spans="1:9" x14ac:dyDescent="0.25">
      <c r="A28" s="156" t="s">
        <v>192</v>
      </c>
      <c r="B28" s="36"/>
      <c r="C28" s="63"/>
      <c r="D28" s="5"/>
      <c r="E28" s="5"/>
      <c r="F28" s="5"/>
      <c r="G28" s="5"/>
      <c r="H28" s="5"/>
      <c r="I28" s="5"/>
    </row>
    <row r="29" spans="1:9" x14ac:dyDescent="0.25">
      <c r="A29" s="157"/>
      <c r="B29" s="36" t="s">
        <v>146</v>
      </c>
      <c r="C29" s="63" t="s">
        <v>170</v>
      </c>
      <c r="D29" s="39">
        <f>cal_mas!G8</f>
        <v>32</v>
      </c>
      <c r="E29" s="45">
        <f>cal_mas!G9</f>
        <v>15</v>
      </c>
      <c r="F29" s="5"/>
      <c r="G29" s="5"/>
      <c r="H29" s="5"/>
      <c r="I29" s="5"/>
    </row>
    <row r="30" spans="1:9" x14ac:dyDescent="0.25">
      <c r="A30" s="157"/>
      <c r="B30" s="36" t="s">
        <v>193</v>
      </c>
      <c r="C30" s="63" t="s">
        <v>171</v>
      </c>
      <c r="D30" s="39">
        <f>cal_mas!H8</f>
        <v>39</v>
      </c>
      <c r="E30" s="45">
        <f>cal_mas!H9</f>
        <v>10</v>
      </c>
      <c r="F30" s="5"/>
      <c r="G30" s="5"/>
      <c r="H30" s="5"/>
      <c r="I30" s="5"/>
    </row>
    <row r="31" spans="1:9" ht="15.75" thickBot="1" x14ac:dyDescent="0.3">
      <c r="A31" s="158"/>
      <c r="B31" s="53"/>
      <c r="C31" s="69"/>
      <c r="D31" s="56"/>
      <c r="E31" s="53"/>
      <c r="F31" s="5"/>
      <c r="G31" s="5"/>
      <c r="H31" s="5"/>
      <c r="I31" s="5"/>
    </row>
    <row r="32" spans="1:9" x14ac:dyDescent="0.25">
      <c r="A32" s="159" t="s">
        <v>194</v>
      </c>
      <c r="B32" s="36"/>
      <c r="C32" s="63"/>
      <c r="D32" s="5"/>
      <c r="E32" s="5"/>
      <c r="F32" s="5"/>
      <c r="G32" s="5"/>
      <c r="H32" s="5"/>
      <c r="I32" s="5"/>
    </row>
    <row r="33" spans="1:10" x14ac:dyDescent="0.25">
      <c r="A33" s="160"/>
      <c r="B33" s="36" t="s">
        <v>195</v>
      </c>
      <c r="C33" s="63" t="s">
        <v>172</v>
      </c>
      <c r="D33" s="39">
        <f>cal_mas!J8</f>
        <v>30</v>
      </c>
      <c r="E33" s="45">
        <f>cal_mas!J9</f>
        <v>5</v>
      </c>
      <c r="F33" s="5"/>
      <c r="G33" s="5"/>
      <c r="H33" s="5"/>
      <c r="I33" s="5"/>
    </row>
    <row r="34" spans="1:10" x14ac:dyDescent="0.25">
      <c r="A34" s="160"/>
      <c r="B34" s="36" t="s">
        <v>196</v>
      </c>
      <c r="C34" s="63" t="s">
        <v>173</v>
      </c>
      <c r="D34" s="39">
        <f>cal_mas!K8</f>
        <v>25</v>
      </c>
      <c r="E34" s="45">
        <f>cal_mas!K9</f>
        <v>3</v>
      </c>
      <c r="F34" s="5"/>
      <c r="G34" s="5"/>
      <c r="H34" s="5"/>
      <c r="I34" s="5"/>
    </row>
    <row r="35" spans="1:10" ht="15.75" thickBot="1" x14ac:dyDescent="0.3">
      <c r="A35" s="161"/>
      <c r="B35" s="65"/>
      <c r="C35" s="70"/>
      <c r="D35" s="54"/>
      <c r="E35" s="53"/>
      <c r="F35" s="5"/>
      <c r="G35" s="5"/>
      <c r="H35" s="5"/>
      <c r="I35" s="5"/>
    </row>
    <row r="36" spans="1:10" x14ac:dyDescent="0.25">
      <c r="A36" s="162" t="s">
        <v>197</v>
      </c>
      <c r="B36" s="66"/>
      <c r="C36" s="71"/>
      <c r="D36" s="55"/>
      <c r="F36" s="5"/>
      <c r="G36" s="5"/>
      <c r="H36" s="5"/>
      <c r="I36" s="5"/>
    </row>
    <row r="37" spans="1:10" x14ac:dyDescent="0.25">
      <c r="A37" s="157"/>
      <c r="B37" s="36" t="s">
        <v>198</v>
      </c>
      <c r="C37" s="63" t="s">
        <v>174</v>
      </c>
      <c r="D37" s="39">
        <f>cal_mas!M8</f>
        <v>38</v>
      </c>
      <c r="E37" s="45">
        <f>cal_mas!M9</f>
        <v>20</v>
      </c>
      <c r="F37" s="5"/>
      <c r="G37" s="5"/>
      <c r="H37" s="5"/>
      <c r="I37" s="5"/>
    </row>
    <row r="38" spans="1:10" x14ac:dyDescent="0.25">
      <c r="A38" s="157"/>
      <c r="B38" s="36" t="s">
        <v>199</v>
      </c>
      <c r="C38" s="63" t="s">
        <v>175</v>
      </c>
      <c r="D38" s="39">
        <f>cal_mas!N8</f>
        <v>49</v>
      </c>
      <c r="E38" s="45">
        <f>cal_mas!N9</f>
        <v>80</v>
      </c>
      <c r="F38" s="5"/>
      <c r="G38" s="5"/>
      <c r="H38" s="5"/>
      <c r="I38" s="5"/>
    </row>
    <row r="39" spans="1:10" ht="15.75" thickBot="1" x14ac:dyDescent="0.3">
      <c r="A39" s="158"/>
      <c r="B39" s="53"/>
      <c r="C39" s="56"/>
      <c r="D39" s="56"/>
      <c r="E39" s="53"/>
      <c r="F39" s="5"/>
      <c r="G39" s="5"/>
      <c r="H39" s="5"/>
      <c r="I39" s="5"/>
    </row>
    <row r="40" spans="1:10" ht="18.75" x14ac:dyDescent="0.4">
      <c r="A40" s="68"/>
      <c r="B40" s="5"/>
      <c r="C40" s="5"/>
      <c r="D40" s="37" t="s">
        <v>0</v>
      </c>
      <c r="E40" s="37" t="s">
        <v>188</v>
      </c>
      <c r="F40" s="5"/>
      <c r="G40" s="5"/>
      <c r="H40" s="5"/>
      <c r="I40" s="5"/>
    </row>
    <row r="41" spans="1:10" x14ac:dyDescent="0.25">
      <c r="A41" s="5"/>
      <c r="B41" s="5"/>
      <c r="C41" s="5"/>
      <c r="D41" s="5"/>
      <c r="E41" s="5"/>
      <c r="F41" s="5"/>
      <c r="G41" s="5"/>
      <c r="H41" s="5"/>
      <c r="I41" s="5"/>
    </row>
    <row r="42" spans="1:10" x14ac:dyDescent="0.25">
      <c r="A42" s="5"/>
      <c r="B42" s="5"/>
      <c r="C42" s="5"/>
      <c r="D42" s="5"/>
      <c r="E42" s="5"/>
      <c r="F42" s="5"/>
      <c r="G42" s="5"/>
      <c r="H42" s="5"/>
      <c r="I42" s="5"/>
    </row>
    <row r="43" spans="1:10" x14ac:dyDescent="0.25">
      <c r="A43" s="5"/>
      <c r="B43" s="5"/>
      <c r="C43" s="5"/>
      <c r="D43" s="5"/>
      <c r="E43" s="5"/>
      <c r="F43" s="5"/>
      <c r="G43" s="5"/>
      <c r="H43" s="5"/>
      <c r="I43" s="5"/>
    </row>
    <row r="44" spans="1:10" x14ac:dyDescent="0.25">
      <c r="A44" s="5"/>
      <c r="B44" s="5"/>
      <c r="C44" s="5"/>
      <c r="D44" s="5"/>
      <c r="E44" s="5"/>
      <c r="F44" s="5"/>
      <c r="G44" s="5"/>
      <c r="H44" s="5"/>
      <c r="I44" s="5"/>
    </row>
    <row r="45" spans="1:10" x14ac:dyDescent="0.25">
      <c r="A45" s="5"/>
      <c r="B45" s="5"/>
      <c r="C45" s="5"/>
      <c r="D45" s="5"/>
      <c r="E45" s="5"/>
      <c r="F45" s="5"/>
      <c r="G45" s="5"/>
      <c r="H45" s="5"/>
      <c r="I45" s="5"/>
    </row>
    <row r="46" spans="1:10" x14ac:dyDescent="0.25">
      <c r="A46" s="5"/>
      <c r="B46" s="5"/>
      <c r="C46" s="5"/>
      <c r="D46" s="5"/>
      <c r="E46" s="5"/>
      <c r="F46" s="5"/>
      <c r="G46" s="5"/>
      <c r="H46" s="5"/>
      <c r="I46" s="5"/>
      <c r="J46" s="111"/>
    </row>
    <row r="47" spans="1:10" ht="26.25" x14ac:dyDescent="0.4">
      <c r="A47" s="172" t="s">
        <v>210</v>
      </c>
      <c r="B47" s="173"/>
      <c r="C47" s="173"/>
      <c r="D47" s="173"/>
      <c r="E47" s="114"/>
      <c r="F47" s="115"/>
      <c r="G47" s="115"/>
      <c r="H47" s="116"/>
      <c r="I47" s="118"/>
    </row>
    <row r="48" spans="1:10" x14ac:dyDescent="0.25">
      <c r="A48" s="176" t="s">
        <v>155</v>
      </c>
      <c r="B48" s="177"/>
      <c r="C48" s="177"/>
      <c r="D48" s="178"/>
      <c r="E48" s="174"/>
      <c r="F48" s="175"/>
      <c r="G48" s="175"/>
      <c r="H48" s="122"/>
      <c r="I48" s="124"/>
    </row>
    <row r="49" spans="1:9" ht="18.75" customHeight="1" x14ac:dyDescent="0.25">
      <c r="A49" s="116" t="str">
        <f>VLOOKUP(E18,Interpretación!A1:B100,2,FALSE)&amp;"."</f>
        <v>Sesgo positivo, tiende a negar defectos personales o es una persona algo ingenua.</v>
      </c>
      <c r="B49" s="117"/>
      <c r="C49" s="117"/>
      <c r="D49" s="117"/>
      <c r="E49" s="117"/>
      <c r="F49" s="117"/>
      <c r="G49" s="117"/>
      <c r="H49" s="117"/>
      <c r="I49" s="118"/>
    </row>
    <row r="50" spans="1:9" ht="16.5" customHeight="1" x14ac:dyDescent="0.25">
      <c r="A50" s="122"/>
      <c r="B50" s="123"/>
      <c r="C50" s="123"/>
      <c r="D50" s="123"/>
      <c r="E50" s="123"/>
      <c r="F50" s="123"/>
      <c r="G50" s="123"/>
      <c r="H50" s="123"/>
      <c r="I50" s="124"/>
    </row>
    <row r="51" spans="1:9" ht="18" customHeight="1" x14ac:dyDescent="0.25">
      <c r="A51" s="150" t="s">
        <v>248</v>
      </c>
      <c r="B51" s="151"/>
      <c r="C51" s="151"/>
      <c r="D51" s="151"/>
      <c r="E51" s="151"/>
      <c r="F51" s="151"/>
      <c r="G51" s="151"/>
      <c r="H51" s="151"/>
      <c r="I51" s="152"/>
    </row>
    <row r="52" spans="1:9" ht="15.75" customHeight="1" x14ac:dyDescent="0.25">
      <c r="A52" s="153"/>
      <c r="B52" s="154"/>
      <c r="C52" s="154"/>
      <c r="D52" s="154"/>
      <c r="E52" s="154"/>
      <c r="F52" s="154"/>
      <c r="G52" s="154"/>
      <c r="H52" s="154"/>
      <c r="I52" s="155"/>
    </row>
    <row r="53" spans="1:9" ht="15" customHeight="1" x14ac:dyDescent="0.25">
      <c r="A53" s="114" t="s">
        <v>215</v>
      </c>
      <c r="B53" s="115"/>
      <c r="C53" s="171"/>
      <c r="D53" s="114" t="str">
        <f>VLOOKUP(E10,Interpretación!A1:C100,3,FALSE)&amp;"."</f>
        <v xml:space="preserve"> medio-alto.</v>
      </c>
      <c r="E53" s="115"/>
      <c r="F53" s="171"/>
      <c r="G53" s="114"/>
      <c r="H53" s="115"/>
      <c r="I53" s="171"/>
    </row>
    <row r="54" spans="1:9" ht="15" customHeight="1" x14ac:dyDescent="0.25">
      <c r="A54" s="116" t="str">
        <f>VLOOKUP(E21,Interpretación!A:D,4,FALSE)&amp;". "&amp;VLOOKUP(E22,Interpretación!A:E,5,FALSE)</f>
        <v>Podemos considerar que se trata de una persona bastante dinámica, activa, enérgica y que goza de ser proactiva. Además, se le puede describir como medianamente dominante, suele reaccionar de forma asertiva.</v>
      </c>
      <c r="B54" s="117"/>
      <c r="C54" s="117"/>
      <c r="D54" s="117"/>
      <c r="E54" s="117"/>
      <c r="F54" s="117"/>
      <c r="G54" s="117"/>
      <c r="H54" s="117"/>
      <c r="I54" s="118"/>
    </row>
    <row r="55" spans="1:9" ht="15" customHeight="1" x14ac:dyDescent="0.25">
      <c r="A55" s="119"/>
      <c r="B55" s="120"/>
      <c r="C55" s="120"/>
      <c r="D55" s="120"/>
      <c r="E55" s="120"/>
      <c r="F55" s="120"/>
      <c r="G55" s="120"/>
      <c r="H55" s="120"/>
      <c r="I55" s="121"/>
    </row>
    <row r="56" spans="1:9" ht="24" customHeight="1" x14ac:dyDescent="0.25">
      <c r="A56" s="119"/>
      <c r="B56" s="120"/>
      <c r="C56" s="120"/>
      <c r="D56" s="120"/>
      <c r="E56" s="120"/>
      <c r="F56" s="120"/>
      <c r="G56" s="120"/>
      <c r="H56" s="120"/>
      <c r="I56" s="121"/>
    </row>
    <row r="57" spans="1:9" x14ac:dyDescent="0.25">
      <c r="A57" s="150" t="s">
        <v>237</v>
      </c>
      <c r="B57" s="166"/>
      <c r="C57" s="166"/>
      <c r="D57" s="166"/>
      <c r="E57" s="166"/>
      <c r="F57" s="166"/>
      <c r="G57" s="166"/>
      <c r="H57" s="166"/>
      <c r="I57" s="167"/>
    </row>
    <row r="58" spans="1:9" x14ac:dyDescent="0.25">
      <c r="A58" s="168"/>
      <c r="B58" s="169"/>
      <c r="C58" s="169"/>
      <c r="D58" s="169"/>
      <c r="E58" s="169"/>
      <c r="F58" s="169"/>
      <c r="G58" s="169"/>
      <c r="H58" s="169"/>
      <c r="I58" s="170"/>
    </row>
    <row r="59" spans="1:9" x14ac:dyDescent="0.25">
      <c r="A59" s="114" t="s">
        <v>215</v>
      </c>
      <c r="B59" s="115"/>
      <c r="C59" s="171"/>
      <c r="D59" s="114" t="str">
        <f>VLOOKUP(E11,Interpretación!A1:C100,3,FALSE)&amp;"."</f>
        <v xml:space="preserve"> bajo.</v>
      </c>
      <c r="E59" s="115"/>
      <c r="F59" s="171"/>
      <c r="G59" s="114"/>
      <c r="H59" s="115"/>
      <c r="I59" s="171"/>
    </row>
    <row r="60" spans="1:9" x14ac:dyDescent="0.25">
      <c r="A60" s="116" t="str">
        <f>VLOOKUP(E25,Interpretación!A:F,6,FALSE)&amp;". "&amp;VLOOKUP(E26,Interpretación!A:G,7,FALSE)</f>
        <v>Se le considera una persona muy poco cooperativa y muy poco empática. Por otra parte, generalmente es una persona medianamente cordial, altruista, generosa y amable.</v>
      </c>
      <c r="B60" s="117"/>
      <c r="C60" s="117"/>
      <c r="D60" s="117"/>
      <c r="E60" s="117"/>
      <c r="F60" s="117"/>
      <c r="G60" s="117"/>
      <c r="H60" s="117"/>
      <c r="I60" s="118"/>
    </row>
    <row r="61" spans="1:9" x14ac:dyDescent="0.25">
      <c r="A61" s="119"/>
      <c r="B61" s="120"/>
      <c r="C61" s="120"/>
      <c r="D61" s="120"/>
      <c r="E61" s="120"/>
      <c r="F61" s="120"/>
      <c r="G61" s="120"/>
      <c r="H61" s="120"/>
      <c r="I61" s="121"/>
    </row>
    <row r="62" spans="1:9" ht="25.5" customHeight="1" x14ac:dyDescent="0.25">
      <c r="A62" s="122"/>
      <c r="B62" s="123"/>
      <c r="C62" s="123"/>
      <c r="D62" s="123"/>
      <c r="E62" s="123"/>
      <c r="F62" s="123"/>
      <c r="G62" s="123"/>
      <c r="H62" s="123"/>
      <c r="I62" s="124"/>
    </row>
    <row r="63" spans="1:9" ht="15" customHeight="1" x14ac:dyDescent="0.25">
      <c r="A63" s="116" t="s">
        <v>249</v>
      </c>
      <c r="B63" s="117"/>
      <c r="C63" s="117"/>
      <c r="D63" s="117"/>
      <c r="E63" s="117"/>
      <c r="F63" s="117"/>
      <c r="G63" s="117"/>
      <c r="H63" s="117"/>
      <c r="I63" s="118"/>
    </row>
    <row r="64" spans="1:9" x14ac:dyDescent="0.25">
      <c r="A64" s="122"/>
      <c r="B64" s="123"/>
      <c r="C64" s="123"/>
      <c r="D64" s="123"/>
      <c r="E64" s="123"/>
      <c r="F64" s="123"/>
      <c r="G64" s="123"/>
      <c r="H64" s="123"/>
      <c r="I64" s="124"/>
    </row>
    <row r="65" spans="1:9" x14ac:dyDescent="0.25">
      <c r="A65" s="114" t="s">
        <v>215</v>
      </c>
      <c r="B65" s="115"/>
      <c r="C65" s="171"/>
      <c r="D65" s="114" t="str">
        <f>VLOOKUP(E12,Interpretación!A1:C100,3,FALSE)&amp;"."</f>
        <v xml:space="preserve"> bajo.</v>
      </c>
      <c r="E65" s="115"/>
      <c r="F65" s="171"/>
      <c r="G65" s="114"/>
      <c r="H65" s="115"/>
      <c r="I65" s="171"/>
    </row>
    <row r="66" spans="1:9" x14ac:dyDescent="0.25">
      <c r="A66" s="116" t="str">
        <f>VLOOKUP(E29,Interpretación!A:I,8,FALSE)&amp;". "&amp;VLOOKUP(E30,Interpretación!A:I,9,FALSE)</f>
        <v>Su puntuación revela que es una persona poco reflexiva, escrupulosa, ordenada o diligente. Suele presentar poca perseverancia y tenacidad en la consecución de metas.</v>
      </c>
      <c r="B66" s="117"/>
      <c r="C66" s="117"/>
      <c r="D66" s="117"/>
      <c r="E66" s="117"/>
      <c r="F66" s="117"/>
      <c r="G66" s="117"/>
      <c r="H66" s="117"/>
      <c r="I66" s="118"/>
    </row>
    <row r="67" spans="1:9" x14ac:dyDescent="0.25">
      <c r="A67" s="119"/>
      <c r="B67" s="120"/>
      <c r="C67" s="120"/>
      <c r="D67" s="120"/>
      <c r="E67" s="120"/>
      <c r="F67" s="120"/>
      <c r="G67" s="120"/>
      <c r="H67" s="120"/>
      <c r="I67" s="121"/>
    </row>
    <row r="68" spans="1:9" ht="17.25" customHeight="1" x14ac:dyDescent="0.25">
      <c r="A68" s="122"/>
      <c r="B68" s="123"/>
      <c r="C68" s="123"/>
      <c r="D68" s="123"/>
      <c r="E68" s="123"/>
      <c r="F68" s="123"/>
      <c r="G68" s="123"/>
      <c r="H68" s="123"/>
      <c r="I68" s="124"/>
    </row>
    <row r="69" spans="1:9" ht="15" customHeight="1" x14ac:dyDescent="0.25">
      <c r="A69" s="179" t="s">
        <v>257</v>
      </c>
      <c r="B69" s="180"/>
      <c r="C69" s="180"/>
      <c r="D69" s="180"/>
      <c r="E69" s="180"/>
      <c r="F69" s="180"/>
      <c r="G69" s="180"/>
      <c r="H69" s="180"/>
      <c r="I69" s="181"/>
    </row>
    <row r="70" spans="1:9" x14ac:dyDescent="0.25">
      <c r="A70" s="182"/>
      <c r="B70" s="183"/>
      <c r="C70" s="183"/>
      <c r="D70" s="183"/>
      <c r="E70" s="183"/>
      <c r="F70" s="183"/>
      <c r="G70" s="183"/>
      <c r="H70" s="183"/>
      <c r="I70" s="184"/>
    </row>
    <row r="71" spans="1:9" ht="15" customHeight="1" x14ac:dyDescent="0.25">
      <c r="A71" s="114" t="s">
        <v>215</v>
      </c>
      <c r="B71" s="115"/>
      <c r="C71" s="171"/>
      <c r="D71" s="114" t="str">
        <f>VLOOKUP(E13,Interpretación!A1:C100,3,FALSE)&amp;"."</f>
        <v xml:space="preserve"> muy bajo.</v>
      </c>
      <c r="E71" s="115"/>
      <c r="F71" s="171"/>
      <c r="G71" s="114"/>
      <c r="H71" s="115"/>
      <c r="I71" s="171"/>
    </row>
    <row r="72" spans="1:9" x14ac:dyDescent="0.25">
      <c r="A72" s="116" t="str">
        <f>VLOOKUP(E33,Interpretación!A:K,10,FALSE)&amp;". "&amp;VLOOKUP(E34,Interpretación!A:K,11,FALSE)</f>
        <v>Podríamos describirle como una persona muy poco capaz de dominar sus emociones. Igualmente, se le considera una persona que suele ser muy impulsiva e irritable.</v>
      </c>
      <c r="B72" s="117"/>
      <c r="C72" s="117"/>
      <c r="D72" s="117"/>
      <c r="E72" s="117"/>
      <c r="F72" s="117"/>
      <c r="G72" s="117"/>
      <c r="H72" s="117"/>
      <c r="I72" s="118"/>
    </row>
    <row r="73" spans="1:9" x14ac:dyDescent="0.25">
      <c r="A73" s="119"/>
      <c r="B73" s="120"/>
      <c r="C73" s="120"/>
      <c r="D73" s="120"/>
      <c r="E73" s="120"/>
      <c r="F73" s="120"/>
      <c r="G73" s="120"/>
      <c r="H73" s="120"/>
      <c r="I73" s="121"/>
    </row>
    <row r="74" spans="1:9" ht="21.75" customHeight="1" x14ac:dyDescent="0.25">
      <c r="A74" s="122"/>
      <c r="B74" s="123"/>
      <c r="C74" s="123"/>
      <c r="D74" s="123"/>
      <c r="E74" s="123"/>
      <c r="F74" s="123"/>
      <c r="G74" s="123"/>
      <c r="H74" s="123"/>
      <c r="I74" s="124"/>
    </row>
    <row r="75" spans="1:9" ht="15" customHeight="1" x14ac:dyDescent="0.25">
      <c r="A75" s="179" t="s">
        <v>272</v>
      </c>
      <c r="B75" s="180"/>
      <c r="C75" s="180"/>
      <c r="D75" s="180"/>
      <c r="E75" s="180"/>
      <c r="F75" s="180"/>
      <c r="G75" s="180"/>
      <c r="H75" s="180"/>
      <c r="I75" s="181"/>
    </row>
    <row r="76" spans="1:9" x14ac:dyDescent="0.25">
      <c r="A76" s="182"/>
      <c r="B76" s="183"/>
      <c r="C76" s="183"/>
      <c r="D76" s="183"/>
      <c r="E76" s="183"/>
      <c r="F76" s="183"/>
      <c r="G76" s="183"/>
      <c r="H76" s="183"/>
      <c r="I76" s="184"/>
    </row>
    <row r="77" spans="1:9" x14ac:dyDescent="0.25">
      <c r="A77" s="114" t="s">
        <v>215</v>
      </c>
      <c r="B77" s="115"/>
      <c r="C77" s="171"/>
      <c r="D77" s="114" t="str">
        <f>VLOOKUP(E14,Interpretación!A1:C100,3,FALSE)&amp;"."</f>
        <v xml:space="preserve"> medio.</v>
      </c>
      <c r="E77" s="115"/>
      <c r="F77" s="171"/>
      <c r="G77" s="114"/>
      <c r="H77" s="115"/>
      <c r="I77" s="171"/>
    </row>
    <row r="78" spans="1:9" x14ac:dyDescent="0.25">
      <c r="A78" s="116" t="str">
        <f>VLOOKUP(E37,Interpretación!A:M,12,FALSE)&amp;". "&amp;VLOOKUP(E38,Interpretación!A:M,13,FALSE)</f>
        <v>Se trata de una persona poco abierta a la cultura y costumbres distintas. Además, se le considera una persona bastante abierta a lo nuevo, ya sean ideas como valores.</v>
      </c>
      <c r="B78" s="117"/>
      <c r="C78" s="117"/>
      <c r="D78" s="117"/>
      <c r="E78" s="117"/>
      <c r="F78" s="117"/>
      <c r="G78" s="117"/>
      <c r="H78" s="117"/>
      <c r="I78" s="118"/>
    </row>
    <row r="79" spans="1:9" x14ac:dyDescent="0.25">
      <c r="A79" s="119"/>
      <c r="B79" s="120"/>
      <c r="C79" s="120"/>
      <c r="D79" s="120"/>
      <c r="E79" s="120"/>
      <c r="F79" s="120"/>
      <c r="G79" s="120"/>
      <c r="H79" s="120"/>
      <c r="I79" s="121"/>
    </row>
    <row r="80" spans="1:9" ht="6" customHeight="1" x14ac:dyDescent="0.25">
      <c r="A80" s="122"/>
      <c r="B80" s="123"/>
      <c r="C80" s="123"/>
      <c r="D80" s="123"/>
      <c r="E80" s="123"/>
      <c r="F80" s="123"/>
      <c r="G80" s="123"/>
      <c r="H80" s="123"/>
      <c r="I80" s="124"/>
    </row>
    <row r="81" spans="1:13" x14ac:dyDescent="0.25">
      <c r="A81" s="114"/>
      <c r="B81" s="115"/>
      <c r="C81" s="171"/>
      <c r="D81" s="114"/>
      <c r="E81" s="115"/>
      <c r="F81" s="171"/>
      <c r="G81" s="114"/>
      <c r="H81" s="115"/>
      <c r="I81" s="171"/>
      <c r="M81" t="s">
        <v>286</v>
      </c>
    </row>
    <row r="82" spans="1:13" ht="26.25" x14ac:dyDescent="0.4">
      <c r="A82" s="185" t="s">
        <v>294</v>
      </c>
      <c r="B82" s="186"/>
      <c r="C82" s="186"/>
      <c r="D82" s="186"/>
      <c r="E82" s="186"/>
      <c r="F82" s="187"/>
      <c r="G82" s="114"/>
      <c r="H82" s="115"/>
      <c r="I82" s="171"/>
      <c r="M82" t="s">
        <v>285</v>
      </c>
    </row>
    <row r="83" spans="1:13" x14ac:dyDescent="0.25">
      <c r="A83" s="116" t="str">
        <f>VLOOKUP(E18,Interpretación!A:N,14,FALSE)</f>
        <v>El nivel de distorsión es adecuado, por lo que podemos confiar en los resultados del test.</v>
      </c>
      <c r="B83" s="117"/>
      <c r="C83" s="117"/>
      <c r="D83" s="117"/>
      <c r="E83" s="117"/>
      <c r="F83" s="117"/>
      <c r="G83" s="117"/>
      <c r="H83" s="117"/>
      <c r="I83" s="118"/>
      <c r="M83" t="s">
        <v>297</v>
      </c>
    </row>
    <row r="84" spans="1:13" ht="12" customHeight="1" x14ac:dyDescent="0.25">
      <c r="A84" s="122"/>
      <c r="B84" s="123"/>
      <c r="C84" s="123"/>
      <c r="D84" s="123"/>
      <c r="E84" s="123"/>
      <c r="F84" s="123"/>
      <c r="G84" s="123"/>
      <c r="H84" s="123"/>
      <c r="I84" s="124"/>
    </row>
    <row r="85" spans="1:13" x14ac:dyDescent="0.25">
      <c r="A85" s="116"/>
      <c r="B85" s="117"/>
      <c r="C85" s="117"/>
      <c r="D85" s="117"/>
      <c r="E85" s="117"/>
      <c r="F85" s="117"/>
      <c r="G85" s="117"/>
      <c r="H85" s="117"/>
      <c r="I85" s="118"/>
    </row>
    <row r="86" spans="1:13" x14ac:dyDescent="0.25">
      <c r="A86" s="119"/>
      <c r="B86" s="120"/>
      <c r="C86" s="120"/>
      <c r="D86" s="120"/>
      <c r="E86" s="120"/>
      <c r="F86" s="120"/>
      <c r="G86" s="120"/>
      <c r="H86" s="120"/>
      <c r="I86" s="121"/>
    </row>
    <row r="87" spans="1:13" ht="36.75" customHeight="1" x14ac:dyDescent="0.25">
      <c r="A87" s="122"/>
      <c r="B87" s="123"/>
      <c r="C87" s="123"/>
      <c r="D87" s="123"/>
      <c r="E87" s="123"/>
      <c r="F87" s="123"/>
      <c r="G87" s="123"/>
      <c r="H87" s="123"/>
      <c r="I87" s="124"/>
    </row>
    <row r="88" spans="1:13" x14ac:dyDescent="0.25">
      <c r="A88" s="116"/>
      <c r="B88" s="117"/>
      <c r="C88" s="117"/>
      <c r="D88" s="117"/>
      <c r="E88" s="117"/>
      <c r="F88" s="117"/>
      <c r="G88" s="117"/>
      <c r="H88" s="117"/>
      <c r="I88" s="118"/>
    </row>
    <row r="89" spans="1:13" x14ac:dyDescent="0.25">
      <c r="A89" s="122"/>
      <c r="B89" s="123"/>
      <c r="C89" s="123"/>
      <c r="D89" s="123"/>
      <c r="E89" s="123"/>
      <c r="F89" s="123"/>
      <c r="G89" s="123"/>
      <c r="H89" s="123"/>
      <c r="I89" s="124"/>
    </row>
    <row r="90" spans="1:13" x14ac:dyDescent="0.25">
      <c r="A90" s="114"/>
      <c r="B90" s="115"/>
      <c r="C90" s="171"/>
      <c r="D90" s="114"/>
      <c r="E90" s="115"/>
      <c r="F90" s="171"/>
      <c r="G90" s="114"/>
      <c r="H90" s="115"/>
      <c r="I90" s="171"/>
    </row>
    <row r="91" spans="1:13" x14ac:dyDescent="0.25">
      <c r="A91" s="114"/>
      <c r="B91" s="115"/>
      <c r="C91" s="171"/>
      <c r="D91" s="114"/>
      <c r="E91" s="115"/>
      <c r="F91" s="171"/>
      <c r="G91" s="114"/>
      <c r="H91" s="115"/>
      <c r="I91" s="171"/>
    </row>
    <row r="92" spans="1:13" x14ac:dyDescent="0.25">
      <c r="A92" s="114"/>
      <c r="B92" s="115"/>
      <c r="C92" s="171"/>
      <c r="D92" s="114"/>
      <c r="E92" s="115"/>
      <c r="F92" s="171"/>
      <c r="G92" s="114"/>
      <c r="H92" s="115"/>
      <c r="I92" s="171"/>
    </row>
    <row r="93" spans="1:13" x14ac:dyDescent="0.25">
      <c r="A93" s="114"/>
      <c r="B93" s="115"/>
      <c r="C93" s="171"/>
      <c r="D93" s="114"/>
      <c r="E93" s="115"/>
      <c r="F93" s="171"/>
      <c r="G93" s="114"/>
      <c r="H93" s="115"/>
      <c r="I93" s="171"/>
    </row>
    <row r="94" spans="1:13" x14ac:dyDescent="0.25">
      <c r="A94" s="114"/>
      <c r="B94" s="115"/>
      <c r="C94" s="171"/>
      <c r="D94" s="114"/>
      <c r="E94" s="115"/>
      <c r="F94" s="171"/>
      <c r="G94" s="114"/>
      <c r="H94" s="115"/>
      <c r="I94" s="171"/>
    </row>
    <row r="95" spans="1:13" x14ac:dyDescent="0.25">
      <c r="A95" s="114"/>
      <c r="B95" s="115"/>
      <c r="C95" s="171"/>
      <c r="D95" s="114"/>
      <c r="E95" s="115"/>
      <c r="F95" s="171"/>
      <c r="G95" s="114"/>
      <c r="H95" s="115"/>
      <c r="I95" s="171"/>
    </row>
    <row r="96" spans="1:13" x14ac:dyDescent="0.25">
      <c r="A96" s="114"/>
      <c r="B96" s="115"/>
      <c r="C96" s="171"/>
      <c r="D96" s="114"/>
      <c r="E96" s="115"/>
      <c r="F96" s="171"/>
      <c r="G96" s="114"/>
      <c r="H96" s="115"/>
      <c r="I96" s="171"/>
    </row>
    <row r="97" spans="1:9" ht="26.25" x14ac:dyDescent="0.4">
      <c r="A97" s="133" t="s">
        <v>295</v>
      </c>
      <c r="B97" s="133"/>
      <c r="C97" s="133"/>
      <c r="D97" s="133"/>
      <c r="E97" s="133"/>
      <c r="F97" s="113"/>
      <c r="G97" s="113"/>
      <c r="H97" s="113"/>
      <c r="I97" s="88"/>
    </row>
    <row r="98" spans="1:9" x14ac:dyDescent="0.25">
      <c r="A98" s="116" t="s">
        <v>304</v>
      </c>
      <c r="B98" s="125"/>
      <c r="C98" s="125"/>
      <c r="D98" s="125"/>
      <c r="E98" s="125"/>
      <c r="F98" s="125"/>
      <c r="G98" s="125"/>
      <c r="H98" s="125"/>
      <c r="I98" s="126"/>
    </row>
    <row r="99" spans="1:9" x14ac:dyDescent="0.25">
      <c r="A99" s="127"/>
      <c r="B99" s="128"/>
      <c r="C99" s="128"/>
      <c r="D99" s="128"/>
      <c r="E99" s="128"/>
      <c r="F99" s="128"/>
      <c r="G99" s="128"/>
      <c r="H99" s="128"/>
      <c r="I99" s="129"/>
    </row>
    <row r="100" spans="1:9" x14ac:dyDescent="0.25">
      <c r="A100" s="127"/>
      <c r="B100" s="128"/>
      <c r="C100" s="128"/>
      <c r="D100" s="128"/>
      <c r="E100" s="128"/>
      <c r="F100" s="128"/>
      <c r="G100" s="128"/>
      <c r="H100" s="128"/>
      <c r="I100" s="129"/>
    </row>
    <row r="101" spans="1:9" x14ac:dyDescent="0.25">
      <c r="A101" s="127"/>
      <c r="B101" s="128"/>
      <c r="C101" s="128"/>
      <c r="D101" s="128"/>
      <c r="E101" s="128"/>
      <c r="F101" s="128"/>
      <c r="G101" s="128"/>
      <c r="H101" s="128"/>
      <c r="I101" s="129"/>
    </row>
    <row r="102" spans="1:9" x14ac:dyDescent="0.25">
      <c r="A102" s="127"/>
      <c r="B102" s="128"/>
      <c r="C102" s="128"/>
      <c r="D102" s="128"/>
      <c r="E102" s="128"/>
      <c r="F102" s="128"/>
      <c r="G102" s="128"/>
      <c r="H102" s="128"/>
      <c r="I102" s="129"/>
    </row>
    <row r="103" spans="1:9" x14ac:dyDescent="0.25">
      <c r="A103" s="127"/>
      <c r="B103" s="128"/>
      <c r="C103" s="128"/>
      <c r="D103" s="128"/>
      <c r="E103" s="128"/>
      <c r="F103" s="128"/>
      <c r="G103" s="128"/>
      <c r="H103" s="128"/>
      <c r="I103" s="129"/>
    </row>
    <row r="104" spans="1:9" x14ac:dyDescent="0.25">
      <c r="A104" s="127"/>
      <c r="B104" s="128"/>
      <c r="C104" s="128"/>
      <c r="D104" s="128"/>
      <c r="E104" s="128"/>
      <c r="F104" s="128"/>
      <c r="G104" s="128"/>
      <c r="H104" s="128"/>
      <c r="I104" s="129"/>
    </row>
    <row r="105" spans="1:9" x14ac:dyDescent="0.25">
      <c r="A105" s="127"/>
      <c r="B105" s="128"/>
      <c r="C105" s="128"/>
      <c r="D105" s="128"/>
      <c r="E105" s="128"/>
      <c r="F105" s="128"/>
      <c r="G105" s="128"/>
      <c r="H105" s="128"/>
      <c r="I105" s="129"/>
    </row>
    <row r="106" spans="1:9" x14ac:dyDescent="0.25">
      <c r="A106" s="127"/>
      <c r="B106" s="128"/>
      <c r="C106" s="128"/>
      <c r="D106" s="128"/>
      <c r="E106" s="128"/>
      <c r="F106" s="128"/>
      <c r="G106" s="128"/>
      <c r="H106" s="128"/>
      <c r="I106" s="129"/>
    </row>
    <row r="107" spans="1:9" x14ac:dyDescent="0.25">
      <c r="A107" s="127"/>
      <c r="B107" s="128"/>
      <c r="C107" s="128"/>
      <c r="D107" s="128"/>
      <c r="E107" s="128"/>
      <c r="F107" s="128"/>
      <c r="G107" s="128"/>
      <c r="H107" s="128"/>
      <c r="I107" s="129"/>
    </row>
    <row r="108" spans="1:9" x14ac:dyDescent="0.25">
      <c r="A108" s="127"/>
      <c r="B108" s="128"/>
      <c r="C108" s="128"/>
      <c r="D108" s="128"/>
      <c r="E108" s="128"/>
      <c r="F108" s="128"/>
      <c r="G108" s="128"/>
      <c r="H108" s="128"/>
      <c r="I108" s="129"/>
    </row>
    <row r="109" spans="1:9" x14ac:dyDescent="0.25">
      <c r="A109" s="127"/>
      <c r="B109" s="128"/>
      <c r="C109" s="128"/>
      <c r="D109" s="128"/>
      <c r="E109" s="128"/>
      <c r="F109" s="128"/>
      <c r="G109" s="128"/>
      <c r="H109" s="128"/>
      <c r="I109" s="129"/>
    </row>
    <row r="110" spans="1:9" x14ac:dyDescent="0.25">
      <c r="A110" s="127"/>
      <c r="B110" s="128"/>
      <c r="C110" s="128"/>
      <c r="D110" s="128"/>
      <c r="E110" s="128"/>
      <c r="F110" s="128"/>
      <c r="G110" s="128"/>
      <c r="H110" s="128"/>
      <c r="I110" s="129"/>
    </row>
    <row r="111" spans="1:9" x14ac:dyDescent="0.25">
      <c r="A111" s="130"/>
      <c r="B111" s="131"/>
      <c r="C111" s="131"/>
      <c r="D111" s="131"/>
      <c r="E111" s="131"/>
      <c r="F111" s="131"/>
      <c r="G111" s="131"/>
      <c r="H111" s="131"/>
      <c r="I111" s="132"/>
    </row>
    <row r="112" spans="1:9" ht="26.25" x14ac:dyDescent="0.4">
      <c r="A112" s="112" t="s">
        <v>296</v>
      </c>
      <c r="B112" s="112"/>
      <c r="C112" s="112"/>
      <c r="D112" s="112"/>
      <c r="E112" s="112"/>
      <c r="F112" s="112"/>
      <c r="G112" s="112"/>
      <c r="H112" s="113"/>
      <c r="I112" s="113"/>
    </row>
    <row r="113" spans="1:9" x14ac:dyDescent="0.25">
      <c r="A113" s="116" t="s">
        <v>305</v>
      </c>
      <c r="B113" s="117"/>
      <c r="C113" s="117"/>
      <c r="D113" s="117"/>
      <c r="E113" s="117"/>
      <c r="F113" s="117"/>
      <c r="G113" s="117"/>
      <c r="H113" s="117"/>
      <c r="I113" s="118"/>
    </row>
    <row r="114" spans="1:9" x14ac:dyDescent="0.25">
      <c r="A114" s="119"/>
      <c r="B114" s="120"/>
      <c r="C114" s="120"/>
      <c r="D114" s="120"/>
      <c r="E114" s="120"/>
      <c r="F114" s="120"/>
      <c r="G114" s="120"/>
      <c r="H114" s="120"/>
      <c r="I114" s="121"/>
    </row>
    <row r="115" spans="1:9" x14ac:dyDescent="0.25">
      <c r="A115" s="119"/>
      <c r="B115" s="120"/>
      <c r="C115" s="120"/>
      <c r="D115" s="120"/>
      <c r="E115" s="120"/>
      <c r="F115" s="120"/>
      <c r="G115" s="120"/>
      <c r="H115" s="120"/>
      <c r="I115" s="121"/>
    </row>
    <row r="116" spans="1:9" x14ac:dyDescent="0.25">
      <c r="A116" s="119"/>
      <c r="B116" s="120"/>
      <c r="C116" s="120"/>
      <c r="D116" s="120"/>
      <c r="E116" s="120"/>
      <c r="F116" s="120"/>
      <c r="G116" s="120"/>
      <c r="H116" s="120"/>
      <c r="I116" s="121"/>
    </row>
    <row r="117" spans="1:9" x14ac:dyDescent="0.25">
      <c r="A117" s="119"/>
      <c r="B117" s="120"/>
      <c r="C117" s="120"/>
      <c r="D117" s="120"/>
      <c r="E117" s="120"/>
      <c r="F117" s="120"/>
      <c r="G117" s="120"/>
      <c r="H117" s="120"/>
      <c r="I117" s="121"/>
    </row>
    <row r="118" spans="1:9" x14ac:dyDescent="0.25">
      <c r="A118" s="119"/>
      <c r="B118" s="120"/>
      <c r="C118" s="120"/>
      <c r="D118" s="120"/>
      <c r="E118" s="120"/>
      <c r="F118" s="120"/>
      <c r="G118" s="120"/>
      <c r="H118" s="120"/>
      <c r="I118" s="121"/>
    </row>
    <row r="119" spans="1:9" x14ac:dyDescent="0.25">
      <c r="A119" s="119"/>
      <c r="B119" s="120"/>
      <c r="C119" s="120"/>
      <c r="D119" s="120"/>
      <c r="E119" s="120"/>
      <c r="F119" s="120"/>
      <c r="G119" s="120"/>
      <c r="H119" s="120"/>
      <c r="I119" s="121"/>
    </row>
    <row r="120" spans="1:9" x14ac:dyDescent="0.25">
      <c r="A120" s="122"/>
      <c r="B120" s="123"/>
      <c r="C120" s="123"/>
      <c r="D120" s="123"/>
      <c r="E120" s="123"/>
      <c r="F120" s="123"/>
      <c r="G120" s="123"/>
      <c r="H120" s="123"/>
      <c r="I120" s="124"/>
    </row>
    <row r="121" spans="1:9" x14ac:dyDescent="0.25">
      <c r="A121" s="113"/>
      <c r="B121" s="113"/>
      <c r="C121" s="113"/>
      <c r="D121" s="113"/>
      <c r="E121" s="113"/>
      <c r="F121" s="113"/>
      <c r="G121" s="88"/>
      <c r="H121" s="113"/>
      <c r="I121" s="113"/>
    </row>
    <row r="122" spans="1:9" x14ac:dyDescent="0.25">
      <c r="A122" s="113"/>
      <c r="B122" s="113"/>
      <c r="C122" s="113"/>
      <c r="D122" s="113"/>
      <c r="E122" s="113"/>
      <c r="F122" s="113"/>
      <c r="G122" s="88"/>
      <c r="H122" s="113"/>
      <c r="I122" s="113"/>
    </row>
    <row r="123" spans="1:9" x14ac:dyDescent="0.25">
      <c r="A123" s="113"/>
      <c r="B123" s="113"/>
      <c r="C123" s="113"/>
      <c r="D123" s="113"/>
      <c r="E123" s="113"/>
      <c r="F123" s="113"/>
      <c r="G123" s="88"/>
      <c r="H123" s="113"/>
      <c r="I123" s="113"/>
    </row>
    <row r="124" spans="1:9" x14ac:dyDescent="0.25">
      <c r="A124" s="113"/>
      <c r="B124" s="113"/>
      <c r="C124" s="113"/>
      <c r="D124" s="113"/>
      <c r="E124" s="113"/>
      <c r="F124" s="113"/>
      <c r="G124" s="88"/>
      <c r="H124" s="113"/>
      <c r="I124" s="113"/>
    </row>
    <row r="125" spans="1:9" x14ac:dyDescent="0.25">
      <c r="A125" s="113"/>
      <c r="B125" s="113"/>
      <c r="C125" s="113"/>
      <c r="D125" s="113"/>
      <c r="E125" s="113"/>
      <c r="F125" s="113"/>
      <c r="G125" s="88"/>
      <c r="H125" s="113"/>
      <c r="I125" s="113"/>
    </row>
    <row r="126" spans="1:9" x14ac:dyDescent="0.25">
      <c r="A126" s="113"/>
      <c r="B126" s="113"/>
      <c r="C126" s="113"/>
      <c r="D126" s="113"/>
      <c r="E126" s="113"/>
      <c r="F126" s="113"/>
      <c r="G126" s="88"/>
      <c r="H126" s="113"/>
      <c r="I126" s="113"/>
    </row>
    <row r="127" spans="1:9" x14ac:dyDescent="0.25">
      <c r="A127" s="113"/>
      <c r="B127" s="113"/>
      <c r="C127" s="113"/>
      <c r="D127" s="113"/>
      <c r="E127" s="113"/>
      <c r="F127" s="113"/>
      <c r="G127" s="88"/>
      <c r="H127" s="113"/>
      <c r="I127" s="113"/>
    </row>
    <row r="128" spans="1:9" x14ac:dyDescent="0.25">
      <c r="A128" s="113"/>
      <c r="B128" s="113"/>
      <c r="C128" s="113"/>
      <c r="D128" s="113"/>
      <c r="E128" s="113"/>
      <c r="F128" s="113"/>
      <c r="G128" s="88"/>
      <c r="H128" s="113"/>
      <c r="I128" s="113"/>
    </row>
    <row r="129" spans="1:9" x14ac:dyDescent="0.25">
      <c r="A129" s="113"/>
      <c r="B129" s="113"/>
      <c r="C129" s="113"/>
      <c r="D129" s="113"/>
      <c r="E129" s="113"/>
      <c r="F129" s="113"/>
      <c r="G129" s="88"/>
      <c r="H129" s="113"/>
      <c r="I129" s="113"/>
    </row>
    <row r="130" spans="1:9" x14ac:dyDescent="0.25">
      <c r="A130" s="113"/>
      <c r="B130" s="113"/>
      <c r="C130" s="113"/>
      <c r="D130" s="113"/>
      <c r="E130" s="113"/>
      <c r="F130" s="113"/>
      <c r="G130" s="88"/>
      <c r="H130" s="113"/>
      <c r="I130" s="113"/>
    </row>
    <row r="131" spans="1:9" x14ac:dyDescent="0.25">
      <c r="A131" s="113"/>
      <c r="B131" s="113"/>
      <c r="C131" s="113"/>
      <c r="D131" s="113"/>
      <c r="E131" s="113"/>
      <c r="F131" s="113"/>
      <c r="G131" s="88"/>
      <c r="H131" s="113"/>
      <c r="I131" s="113"/>
    </row>
    <row r="132" spans="1:9" x14ac:dyDescent="0.25">
      <c r="A132" s="113"/>
      <c r="B132" s="113"/>
      <c r="C132" s="113"/>
      <c r="D132" s="113"/>
      <c r="E132" s="113"/>
      <c r="F132" s="113"/>
      <c r="G132" s="88"/>
      <c r="H132" s="113"/>
      <c r="I132" s="113"/>
    </row>
    <row r="133" spans="1:9" x14ac:dyDescent="0.25">
      <c r="A133" s="113"/>
      <c r="B133" s="113"/>
      <c r="C133" s="113"/>
      <c r="D133" s="113"/>
      <c r="E133" s="113"/>
      <c r="F133" s="113"/>
      <c r="G133" s="88"/>
      <c r="H133" s="113"/>
      <c r="I133" s="113"/>
    </row>
    <row r="134" spans="1:9" x14ac:dyDescent="0.25">
      <c r="A134" s="113"/>
      <c r="B134" s="113"/>
      <c r="C134" s="113"/>
      <c r="D134" s="113"/>
      <c r="E134" s="113"/>
      <c r="F134" s="113"/>
      <c r="G134" s="88"/>
      <c r="H134" s="113"/>
      <c r="I134" s="113"/>
    </row>
    <row r="135" spans="1:9" x14ac:dyDescent="0.25">
      <c r="A135" s="113"/>
      <c r="B135" s="113"/>
      <c r="C135" s="113"/>
      <c r="D135" s="113"/>
      <c r="E135" s="113"/>
      <c r="F135" s="113"/>
      <c r="G135" s="88"/>
      <c r="H135" s="113"/>
      <c r="I135" s="113"/>
    </row>
    <row r="136" spans="1:9" x14ac:dyDescent="0.25">
      <c r="A136" s="113"/>
      <c r="B136" s="113"/>
      <c r="C136" s="113"/>
      <c r="D136" s="113"/>
      <c r="E136" s="113"/>
      <c r="F136" s="113"/>
      <c r="G136" s="88"/>
      <c r="H136" s="113"/>
      <c r="I136" s="113"/>
    </row>
    <row r="137" spans="1:9" x14ac:dyDescent="0.25">
      <c r="A137" s="113"/>
      <c r="B137" s="113"/>
      <c r="C137" s="113"/>
      <c r="D137" s="113"/>
      <c r="E137" s="113"/>
      <c r="F137" s="113"/>
      <c r="G137" s="88"/>
      <c r="H137" s="113"/>
      <c r="I137" s="113"/>
    </row>
    <row r="138" spans="1:9" x14ac:dyDescent="0.25">
      <c r="A138" s="113"/>
      <c r="B138" s="113"/>
      <c r="C138" s="113"/>
      <c r="D138" s="113"/>
      <c r="E138" s="113"/>
      <c r="F138" s="113"/>
      <c r="G138" s="88"/>
      <c r="H138" s="113"/>
      <c r="I138" s="113"/>
    </row>
    <row r="139" spans="1:9" x14ac:dyDescent="0.25">
      <c r="A139" s="113"/>
      <c r="B139" s="113"/>
      <c r="C139" s="113"/>
      <c r="D139" s="113"/>
      <c r="E139" s="113"/>
      <c r="F139" s="113"/>
      <c r="G139" s="88"/>
      <c r="H139" s="113"/>
      <c r="I139" s="113"/>
    </row>
    <row r="140" spans="1:9" x14ac:dyDescent="0.25">
      <c r="A140" s="113"/>
      <c r="B140" s="113"/>
      <c r="C140" s="113"/>
      <c r="D140" s="113"/>
      <c r="E140" s="113"/>
      <c r="F140" s="113"/>
      <c r="G140" s="88"/>
      <c r="H140" s="113"/>
      <c r="I140" s="113"/>
    </row>
    <row r="141" spans="1:9" x14ac:dyDescent="0.25">
      <c r="A141" s="113"/>
      <c r="B141" s="113"/>
      <c r="C141" s="113"/>
      <c r="D141" s="113"/>
      <c r="E141" s="113"/>
      <c r="F141" s="113"/>
      <c r="G141" s="88"/>
      <c r="H141" s="113"/>
      <c r="I141" s="113"/>
    </row>
    <row r="142" spans="1:9" x14ac:dyDescent="0.25">
      <c r="A142" s="113"/>
      <c r="B142" s="113"/>
      <c r="C142" s="113"/>
      <c r="D142" s="113"/>
      <c r="E142" s="113"/>
      <c r="F142" s="113"/>
      <c r="G142" s="88"/>
      <c r="H142" s="113"/>
      <c r="I142" s="113"/>
    </row>
    <row r="143" spans="1:9" x14ac:dyDescent="0.25">
      <c r="A143" s="113"/>
      <c r="B143" s="113"/>
      <c r="C143" s="113"/>
      <c r="D143" s="113"/>
      <c r="E143" s="113"/>
      <c r="F143" s="113"/>
      <c r="G143" s="88"/>
      <c r="H143" s="113"/>
      <c r="I143" s="113"/>
    </row>
    <row r="144" spans="1:9" x14ac:dyDescent="0.25">
      <c r="H144" s="114"/>
      <c r="I144" s="115"/>
    </row>
    <row r="145" spans="8:9" x14ac:dyDescent="0.25">
      <c r="H145" s="114"/>
      <c r="I145" s="115"/>
    </row>
    <row r="146" spans="8:9" x14ac:dyDescent="0.25">
      <c r="H146" s="114"/>
      <c r="I146" s="115"/>
    </row>
    <row r="147" spans="8:9" x14ac:dyDescent="0.25">
      <c r="H147" s="114"/>
      <c r="I147" s="115"/>
    </row>
    <row r="148" spans="8:9" x14ac:dyDescent="0.25">
      <c r="H148" s="114"/>
      <c r="I148" s="115"/>
    </row>
    <row r="149" spans="8:9" x14ac:dyDescent="0.25">
      <c r="H149" s="114"/>
      <c r="I149" s="115"/>
    </row>
    <row r="150" spans="8:9" x14ac:dyDescent="0.25">
      <c r="H150" s="114"/>
      <c r="I150" s="115"/>
    </row>
    <row r="151" spans="8:9" x14ac:dyDescent="0.25">
      <c r="H151" s="114"/>
      <c r="I151" s="115"/>
    </row>
    <row r="152" spans="8:9" x14ac:dyDescent="0.25">
      <c r="H152" s="114"/>
      <c r="I152" s="115"/>
    </row>
    <row r="153" spans="8:9" x14ac:dyDescent="0.25">
      <c r="H153" s="114"/>
      <c r="I153" s="115"/>
    </row>
    <row r="154" spans="8:9" x14ac:dyDescent="0.25">
      <c r="H154" s="114"/>
      <c r="I154" s="115"/>
    </row>
    <row r="155" spans="8:9" x14ac:dyDescent="0.25">
      <c r="H155" s="114"/>
      <c r="I155" s="115"/>
    </row>
    <row r="156" spans="8:9" x14ac:dyDescent="0.25">
      <c r="H156" s="114"/>
      <c r="I156" s="115"/>
    </row>
    <row r="157" spans="8:9" x14ac:dyDescent="0.25">
      <c r="H157" s="114"/>
      <c r="I157" s="115"/>
    </row>
    <row r="158" spans="8:9" x14ac:dyDescent="0.25">
      <c r="H158" s="114"/>
      <c r="I158" s="115"/>
    </row>
    <row r="159" spans="8:9" x14ac:dyDescent="0.25">
      <c r="H159" s="114"/>
      <c r="I159" s="115"/>
    </row>
    <row r="160" spans="8:9" x14ac:dyDescent="0.25">
      <c r="H160" s="114"/>
      <c r="I160" s="115"/>
    </row>
    <row r="161" spans="8:9" x14ac:dyDescent="0.25">
      <c r="H161" s="114"/>
      <c r="I161" s="115"/>
    </row>
    <row r="162" spans="8:9" x14ac:dyDescent="0.25">
      <c r="H162" s="114"/>
      <c r="I162" s="115"/>
    </row>
    <row r="163" spans="8:9" x14ac:dyDescent="0.25">
      <c r="H163" s="114"/>
      <c r="I163" s="115"/>
    </row>
    <row r="164" spans="8:9" x14ac:dyDescent="0.25">
      <c r="H164" s="114"/>
      <c r="I164" s="115"/>
    </row>
    <row r="165" spans="8:9" x14ac:dyDescent="0.25">
      <c r="H165" s="114"/>
      <c r="I165" s="115"/>
    </row>
    <row r="166" spans="8:9" x14ac:dyDescent="0.25">
      <c r="H166" s="114"/>
      <c r="I166" s="115"/>
    </row>
    <row r="167" spans="8:9" x14ac:dyDescent="0.25">
      <c r="H167" s="114"/>
      <c r="I167" s="115"/>
    </row>
    <row r="168" spans="8:9" x14ac:dyDescent="0.25">
      <c r="H168" s="114"/>
      <c r="I168" s="115"/>
    </row>
    <row r="169" spans="8:9" x14ac:dyDescent="0.25">
      <c r="H169" s="114"/>
      <c r="I169" s="115"/>
    </row>
    <row r="170" spans="8:9" x14ac:dyDescent="0.25">
      <c r="H170" s="114"/>
      <c r="I170" s="115"/>
    </row>
    <row r="171" spans="8:9" x14ac:dyDescent="0.25">
      <c r="H171" s="114"/>
      <c r="I171" s="115"/>
    </row>
    <row r="172" spans="8:9" x14ac:dyDescent="0.25">
      <c r="H172" s="114"/>
      <c r="I172" s="115"/>
    </row>
    <row r="173" spans="8:9" x14ac:dyDescent="0.25">
      <c r="H173" s="114"/>
      <c r="I173" s="115"/>
    </row>
    <row r="174" spans="8:9" x14ac:dyDescent="0.25">
      <c r="H174" s="114"/>
      <c r="I174" s="115"/>
    </row>
    <row r="175" spans="8:9" x14ac:dyDescent="0.25">
      <c r="H175" s="114"/>
      <c r="I175" s="115"/>
    </row>
    <row r="176" spans="8:9" x14ac:dyDescent="0.25">
      <c r="H176" s="114"/>
      <c r="I176" s="115"/>
    </row>
    <row r="177" spans="8:9" x14ac:dyDescent="0.25">
      <c r="H177" s="114"/>
      <c r="I177" s="115"/>
    </row>
    <row r="178" spans="8:9" x14ac:dyDescent="0.25">
      <c r="H178" s="114"/>
      <c r="I178" s="115"/>
    </row>
    <row r="179" spans="8:9" x14ac:dyDescent="0.25">
      <c r="H179" s="114"/>
      <c r="I179" s="115"/>
    </row>
    <row r="180" spans="8:9" x14ac:dyDescent="0.25">
      <c r="H180" s="114"/>
      <c r="I180" s="115"/>
    </row>
    <row r="181" spans="8:9" x14ac:dyDescent="0.25">
      <c r="H181" s="114"/>
      <c r="I181" s="115"/>
    </row>
    <row r="182" spans="8:9" x14ac:dyDescent="0.25">
      <c r="H182" s="114"/>
      <c r="I182" s="115"/>
    </row>
    <row r="183" spans="8:9" x14ac:dyDescent="0.25">
      <c r="H183" s="114"/>
      <c r="I183" s="115"/>
    </row>
    <row r="184" spans="8:9" x14ac:dyDescent="0.25">
      <c r="H184" s="114"/>
      <c r="I184" s="115"/>
    </row>
    <row r="185" spans="8:9" x14ac:dyDescent="0.25">
      <c r="H185" s="114"/>
      <c r="I185" s="115"/>
    </row>
    <row r="186" spans="8:9" x14ac:dyDescent="0.25">
      <c r="H186" s="114"/>
      <c r="I186" s="115"/>
    </row>
    <row r="187" spans="8:9" x14ac:dyDescent="0.25">
      <c r="H187" s="114"/>
      <c r="I187" s="115"/>
    </row>
    <row r="188" spans="8:9" x14ac:dyDescent="0.25">
      <c r="H188" s="114"/>
      <c r="I188" s="115"/>
    </row>
    <row r="189" spans="8:9" x14ac:dyDescent="0.25">
      <c r="H189" s="114"/>
      <c r="I189" s="115"/>
    </row>
    <row r="190" spans="8:9" x14ac:dyDescent="0.25">
      <c r="H190" s="114"/>
      <c r="I190" s="115"/>
    </row>
    <row r="191" spans="8:9" x14ac:dyDescent="0.25">
      <c r="H191" s="114"/>
      <c r="I191" s="115"/>
    </row>
    <row r="192" spans="8:9" x14ac:dyDescent="0.25">
      <c r="H192" s="114"/>
      <c r="I192" s="115"/>
    </row>
    <row r="193" spans="8:9" x14ac:dyDescent="0.25">
      <c r="H193" s="114"/>
      <c r="I193" s="115"/>
    </row>
    <row r="194" spans="8:9" x14ac:dyDescent="0.25">
      <c r="H194" s="114"/>
      <c r="I194" s="115"/>
    </row>
    <row r="195" spans="8:9" x14ac:dyDescent="0.25">
      <c r="H195" s="114"/>
      <c r="I195" s="115"/>
    </row>
    <row r="196" spans="8:9" x14ac:dyDescent="0.25">
      <c r="H196" s="114"/>
      <c r="I196" s="115"/>
    </row>
    <row r="197" spans="8:9" x14ac:dyDescent="0.25">
      <c r="H197" s="114"/>
      <c r="I197" s="115"/>
    </row>
    <row r="198" spans="8:9" x14ac:dyDescent="0.25">
      <c r="H198" s="114"/>
      <c r="I198" s="115"/>
    </row>
    <row r="199" spans="8:9" x14ac:dyDescent="0.25">
      <c r="H199" s="114"/>
      <c r="I199" s="115"/>
    </row>
    <row r="200" spans="8:9" x14ac:dyDescent="0.25">
      <c r="H200" s="114"/>
      <c r="I200" s="115"/>
    </row>
    <row r="201" spans="8:9" x14ac:dyDescent="0.25">
      <c r="H201" s="114"/>
      <c r="I201" s="115"/>
    </row>
    <row r="202" spans="8:9" x14ac:dyDescent="0.25">
      <c r="H202" s="114"/>
      <c r="I202" s="115"/>
    </row>
    <row r="203" spans="8:9" x14ac:dyDescent="0.25">
      <c r="H203" s="114"/>
      <c r="I203" s="115"/>
    </row>
    <row r="204" spans="8:9" x14ac:dyDescent="0.25">
      <c r="H204" s="114"/>
      <c r="I204" s="115"/>
    </row>
    <row r="205" spans="8:9" x14ac:dyDescent="0.25">
      <c r="H205" s="114"/>
      <c r="I205" s="115"/>
    </row>
    <row r="206" spans="8:9" x14ac:dyDescent="0.25">
      <c r="H206" s="114"/>
      <c r="I206" s="115"/>
    </row>
    <row r="207" spans="8:9" x14ac:dyDescent="0.25">
      <c r="H207" s="114"/>
      <c r="I207" s="115"/>
    </row>
    <row r="208" spans="8:9" x14ac:dyDescent="0.25">
      <c r="H208" s="114"/>
      <c r="I208" s="115"/>
    </row>
    <row r="209" spans="8:9" x14ac:dyDescent="0.25">
      <c r="H209" s="114"/>
      <c r="I209" s="115"/>
    </row>
    <row r="210" spans="8:9" x14ac:dyDescent="0.25">
      <c r="H210" s="114"/>
      <c r="I210" s="115"/>
    </row>
    <row r="211" spans="8:9" x14ac:dyDescent="0.25">
      <c r="H211" s="114"/>
      <c r="I211" s="115"/>
    </row>
    <row r="212" spans="8:9" x14ac:dyDescent="0.25">
      <c r="H212" s="114"/>
      <c r="I212" s="115"/>
    </row>
    <row r="213" spans="8:9" x14ac:dyDescent="0.25">
      <c r="H213" s="114"/>
      <c r="I213" s="115"/>
    </row>
    <row r="214" spans="8:9" x14ac:dyDescent="0.25">
      <c r="H214" s="114"/>
      <c r="I214" s="115"/>
    </row>
    <row r="215" spans="8:9" x14ac:dyDescent="0.25">
      <c r="H215" s="114"/>
      <c r="I215" s="115"/>
    </row>
    <row r="216" spans="8:9" x14ac:dyDescent="0.25">
      <c r="H216" s="114"/>
      <c r="I216" s="115"/>
    </row>
    <row r="217" spans="8:9" x14ac:dyDescent="0.25">
      <c r="H217" s="114"/>
      <c r="I217" s="115"/>
    </row>
    <row r="218" spans="8:9" x14ac:dyDescent="0.25">
      <c r="H218" s="114"/>
      <c r="I218" s="115"/>
    </row>
    <row r="219" spans="8:9" x14ac:dyDescent="0.25">
      <c r="H219" s="114"/>
      <c r="I219" s="115"/>
    </row>
    <row r="220" spans="8:9" x14ac:dyDescent="0.25">
      <c r="H220" s="114"/>
      <c r="I220" s="115"/>
    </row>
    <row r="221" spans="8:9" x14ac:dyDescent="0.25">
      <c r="H221" s="114"/>
      <c r="I221" s="115"/>
    </row>
    <row r="222" spans="8:9" x14ac:dyDescent="0.25">
      <c r="H222" s="114"/>
      <c r="I222" s="115"/>
    </row>
    <row r="223" spans="8:9" x14ac:dyDescent="0.25">
      <c r="H223" s="114"/>
      <c r="I223" s="115"/>
    </row>
    <row r="224" spans="8:9" x14ac:dyDescent="0.25">
      <c r="H224" s="114"/>
      <c r="I224" s="115"/>
    </row>
    <row r="225" spans="8:9" x14ac:dyDescent="0.25">
      <c r="H225" s="114"/>
      <c r="I225" s="115"/>
    </row>
    <row r="226" spans="8:9" x14ac:dyDescent="0.25">
      <c r="H226" s="114"/>
      <c r="I226" s="115"/>
    </row>
    <row r="227" spans="8:9" x14ac:dyDescent="0.25">
      <c r="H227" s="114"/>
      <c r="I227" s="115"/>
    </row>
    <row r="228" spans="8:9" x14ac:dyDescent="0.25">
      <c r="H228" s="114"/>
      <c r="I228" s="115"/>
    </row>
    <row r="229" spans="8:9" x14ac:dyDescent="0.25">
      <c r="H229" s="114"/>
      <c r="I229" s="115"/>
    </row>
    <row r="230" spans="8:9" x14ac:dyDescent="0.25">
      <c r="H230" s="114"/>
      <c r="I230" s="115"/>
    </row>
    <row r="231" spans="8:9" x14ac:dyDescent="0.25">
      <c r="H231" s="114"/>
      <c r="I231" s="115"/>
    </row>
    <row r="232" spans="8:9" x14ac:dyDescent="0.25">
      <c r="H232" s="114"/>
      <c r="I232" s="115"/>
    </row>
    <row r="233" spans="8:9" x14ac:dyDescent="0.25">
      <c r="H233" s="114"/>
      <c r="I233" s="115"/>
    </row>
    <row r="234" spans="8:9" x14ac:dyDescent="0.25">
      <c r="H234" s="114"/>
      <c r="I234" s="115"/>
    </row>
    <row r="235" spans="8:9" x14ac:dyDescent="0.25">
      <c r="H235" s="114"/>
      <c r="I235" s="115"/>
    </row>
    <row r="236" spans="8:9" x14ac:dyDescent="0.25">
      <c r="H236" s="114"/>
      <c r="I236" s="115"/>
    </row>
    <row r="237" spans="8:9" x14ac:dyDescent="0.25">
      <c r="H237" s="114"/>
      <c r="I237" s="115"/>
    </row>
    <row r="238" spans="8:9" x14ac:dyDescent="0.25">
      <c r="H238" s="114"/>
      <c r="I238" s="115"/>
    </row>
    <row r="239" spans="8:9" x14ac:dyDescent="0.25">
      <c r="H239" s="114"/>
      <c r="I239" s="115"/>
    </row>
    <row r="240" spans="8:9" x14ac:dyDescent="0.25">
      <c r="H240" s="114"/>
      <c r="I240" s="115"/>
    </row>
    <row r="241" spans="8:9" x14ac:dyDescent="0.25">
      <c r="H241" s="114"/>
      <c r="I241" s="115"/>
    </row>
    <row r="242" spans="8:9" x14ac:dyDescent="0.25">
      <c r="H242" s="114"/>
      <c r="I242" s="115"/>
    </row>
    <row r="243" spans="8:9" x14ac:dyDescent="0.25">
      <c r="H243" s="114"/>
      <c r="I243" s="115"/>
    </row>
    <row r="244" spans="8:9" x14ac:dyDescent="0.25">
      <c r="H244" s="114"/>
      <c r="I244" s="115"/>
    </row>
    <row r="245" spans="8:9" x14ac:dyDescent="0.25">
      <c r="H245" s="114"/>
      <c r="I245" s="115"/>
    </row>
    <row r="246" spans="8:9" x14ac:dyDescent="0.25">
      <c r="H246" s="114"/>
      <c r="I246" s="115"/>
    </row>
    <row r="247" spans="8:9" x14ac:dyDescent="0.25">
      <c r="H247" s="114"/>
      <c r="I247" s="115"/>
    </row>
    <row r="248" spans="8:9" x14ac:dyDescent="0.25">
      <c r="H248" s="114"/>
      <c r="I248" s="115"/>
    </row>
    <row r="249" spans="8:9" x14ac:dyDescent="0.25">
      <c r="H249" s="114"/>
      <c r="I249" s="115"/>
    </row>
    <row r="250" spans="8:9" x14ac:dyDescent="0.25">
      <c r="H250" s="114"/>
      <c r="I250" s="115"/>
    </row>
    <row r="251" spans="8:9" x14ac:dyDescent="0.25">
      <c r="H251" s="114"/>
      <c r="I251" s="115"/>
    </row>
    <row r="252" spans="8:9" x14ac:dyDescent="0.25">
      <c r="H252" s="114"/>
      <c r="I252" s="115"/>
    </row>
    <row r="253" spans="8:9" x14ac:dyDescent="0.25">
      <c r="H253" s="114"/>
      <c r="I253" s="115"/>
    </row>
    <row r="254" spans="8:9" x14ac:dyDescent="0.25">
      <c r="H254" s="114"/>
      <c r="I254" s="115"/>
    </row>
    <row r="255" spans="8:9" x14ac:dyDescent="0.25">
      <c r="H255" s="114"/>
      <c r="I255" s="115"/>
    </row>
    <row r="256" spans="8:9" x14ac:dyDescent="0.25">
      <c r="H256" s="114"/>
      <c r="I256" s="115"/>
    </row>
    <row r="257" spans="8:9" x14ac:dyDescent="0.25">
      <c r="H257" s="114"/>
      <c r="I257" s="115"/>
    </row>
    <row r="258" spans="8:9" x14ac:dyDescent="0.25">
      <c r="H258" s="114"/>
      <c r="I258" s="115"/>
    </row>
    <row r="259" spans="8:9" x14ac:dyDescent="0.25">
      <c r="H259" s="114"/>
      <c r="I259" s="115"/>
    </row>
    <row r="260" spans="8:9" x14ac:dyDescent="0.25">
      <c r="H260" s="114"/>
      <c r="I260" s="115"/>
    </row>
    <row r="261" spans="8:9" x14ac:dyDescent="0.25">
      <c r="H261" s="114"/>
      <c r="I261" s="115"/>
    </row>
    <row r="262" spans="8:9" x14ac:dyDescent="0.25">
      <c r="H262" s="114"/>
      <c r="I262" s="115"/>
    </row>
    <row r="263" spans="8:9" x14ac:dyDescent="0.25">
      <c r="H263" s="114"/>
      <c r="I263" s="115"/>
    </row>
    <row r="264" spans="8:9" x14ac:dyDescent="0.25">
      <c r="H264" s="114"/>
      <c r="I264" s="115"/>
    </row>
    <row r="265" spans="8:9" x14ac:dyDescent="0.25">
      <c r="H265" s="114"/>
      <c r="I265" s="115"/>
    </row>
    <row r="266" spans="8:9" x14ac:dyDescent="0.25">
      <c r="H266" s="114"/>
      <c r="I266" s="115"/>
    </row>
    <row r="267" spans="8:9" x14ac:dyDescent="0.25">
      <c r="H267" s="114"/>
      <c r="I267" s="115"/>
    </row>
    <row r="268" spans="8:9" x14ac:dyDescent="0.25">
      <c r="H268" s="114"/>
      <c r="I268" s="115"/>
    </row>
    <row r="269" spans="8:9" x14ac:dyDescent="0.25">
      <c r="H269" s="114"/>
      <c r="I269" s="115"/>
    </row>
    <row r="270" spans="8:9" x14ac:dyDescent="0.25">
      <c r="H270" s="114"/>
      <c r="I270" s="115"/>
    </row>
    <row r="271" spans="8:9" x14ac:dyDescent="0.25">
      <c r="H271" s="114"/>
      <c r="I271" s="115"/>
    </row>
    <row r="272" spans="8:9" x14ac:dyDescent="0.25">
      <c r="H272" s="114"/>
      <c r="I272" s="115"/>
    </row>
    <row r="273" spans="8:9" x14ac:dyDescent="0.25">
      <c r="H273" s="114"/>
      <c r="I273" s="115"/>
    </row>
    <row r="274" spans="8:9" x14ac:dyDescent="0.25">
      <c r="H274" s="114"/>
      <c r="I274" s="115"/>
    </row>
    <row r="275" spans="8:9" x14ac:dyDescent="0.25">
      <c r="H275" s="114"/>
      <c r="I275" s="115"/>
    </row>
    <row r="276" spans="8:9" x14ac:dyDescent="0.25">
      <c r="H276" s="114"/>
      <c r="I276" s="115"/>
    </row>
    <row r="277" spans="8:9" x14ac:dyDescent="0.25">
      <c r="H277" s="114"/>
      <c r="I277" s="115"/>
    </row>
    <row r="278" spans="8:9" x14ac:dyDescent="0.25">
      <c r="H278" s="114"/>
      <c r="I278" s="115"/>
    </row>
    <row r="279" spans="8:9" x14ac:dyDescent="0.25">
      <c r="H279" s="114"/>
      <c r="I279" s="115"/>
    </row>
    <row r="280" spans="8:9" x14ac:dyDescent="0.25">
      <c r="H280" s="114"/>
      <c r="I280" s="115"/>
    </row>
    <row r="281" spans="8:9" x14ac:dyDescent="0.25">
      <c r="H281" s="114"/>
      <c r="I281" s="115"/>
    </row>
    <row r="282" spans="8:9" x14ac:dyDescent="0.25">
      <c r="H282" s="114"/>
      <c r="I282" s="115"/>
    </row>
    <row r="283" spans="8:9" x14ac:dyDescent="0.25">
      <c r="H283" s="114"/>
      <c r="I283" s="115"/>
    </row>
    <row r="284" spans="8:9" x14ac:dyDescent="0.25">
      <c r="H284" s="114"/>
      <c r="I284" s="115"/>
    </row>
    <row r="285" spans="8:9" x14ac:dyDescent="0.25">
      <c r="H285" s="114"/>
      <c r="I285" s="115"/>
    </row>
    <row r="286" spans="8:9" x14ac:dyDescent="0.25">
      <c r="H286" s="114"/>
      <c r="I286" s="115"/>
    </row>
    <row r="287" spans="8:9" x14ac:dyDescent="0.25">
      <c r="H287" s="114"/>
      <c r="I287" s="115"/>
    </row>
    <row r="288" spans="8:9" x14ac:dyDescent="0.25">
      <c r="H288" s="114"/>
      <c r="I288" s="115"/>
    </row>
    <row r="289" spans="8:9" x14ac:dyDescent="0.25">
      <c r="H289" s="114"/>
      <c r="I289" s="115"/>
    </row>
    <row r="290" spans="8:9" x14ac:dyDescent="0.25">
      <c r="H290" s="114"/>
      <c r="I290" s="115"/>
    </row>
    <row r="291" spans="8:9" x14ac:dyDescent="0.25">
      <c r="H291" s="114"/>
      <c r="I291" s="115"/>
    </row>
    <row r="292" spans="8:9" x14ac:dyDescent="0.25">
      <c r="H292" s="114"/>
      <c r="I292" s="115"/>
    </row>
    <row r="293" spans="8:9" x14ac:dyDescent="0.25">
      <c r="H293" s="114"/>
      <c r="I293" s="115"/>
    </row>
  </sheetData>
  <mergeCells count="328">
    <mergeCell ref="A94:C94"/>
    <mergeCell ref="D94:F94"/>
    <mergeCell ref="G94:I94"/>
    <mergeCell ref="A95:C95"/>
    <mergeCell ref="D95:F95"/>
    <mergeCell ref="G95:I95"/>
    <mergeCell ref="A96:C96"/>
    <mergeCell ref="D96:F96"/>
    <mergeCell ref="G96:I96"/>
    <mergeCell ref="A91:C91"/>
    <mergeCell ref="D91:F91"/>
    <mergeCell ref="G91:I91"/>
    <mergeCell ref="A92:C92"/>
    <mergeCell ref="D92:F92"/>
    <mergeCell ref="G92:I92"/>
    <mergeCell ref="A93:C93"/>
    <mergeCell ref="D93:F93"/>
    <mergeCell ref="G93:I93"/>
    <mergeCell ref="A83:I84"/>
    <mergeCell ref="A81:C81"/>
    <mergeCell ref="D81:F81"/>
    <mergeCell ref="G81:I81"/>
    <mergeCell ref="G82:I82"/>
    <mergeCell ref="A82:F82"/>
    <mergeCell ref="A90:C90"/>
    <mergeCell ref="D90:F90"/>
    <mergeCell ref="G90:I90"/>
    <mergeCell ref="A88:I89"/>
    <mergeCell ref="A85:I87"/>
    <mergeCell ref="A72:I74"/>
    <mergeCell ref="A69:I70"/>
    <mergeCell ref="A66:I68"/>
    <mergeCell ref="A65:C65"/>
    <mergeCell ref="D65:F65"/>
    <mergeCell ref="G65:I65"/>
    <mergeCell ref="A78:I80"/>
    <mergeCell ref="A77:C77"/>
    <mergeCell ref="D77:F77"/>
    <mergeCell ref="G77:I77"/>
    <mergeCell ref="A75:I76"/>
    <mergeCell ref="A71:C71"/>
    <mergeCell ref="D71:F71"/>
    <mergeCell ref="G71:I71"/>
    <mergeCell ref="A24:A27"/>
    <mergeCell ref="A54:I56"/>
    <mergeCell ref="A57:I58"/>
    <mergeCell ref="A53:C53"/>
    <mergeCell ref="D53:F53"/>
    <mergeCell ref="G53:I53"/>
    <mergeCell ref="A63:I64"/>
    <mergeCell ref="A60:I62"/>
    <mergeCell ref="A59:C59"/>
    <mergeCell ref="D59:F59"/>
    <mergeCell ref="G59:I59"/>
    <mergeCell ref="A47:D47"/>
    <mergeCell ref="E47:G47"/>
    <mergeCell ref="A49:I50"/>
    <mergeCell ref="E48:G48"/>
    <mergeCell ref="A48:D48"/>
    <mergeCell ref="H47:I48"/>
    <mergeCell ref="A98:I111"/>
    <mergeCell ref="A97:E97"/>
    <mergeCell ref="F97:H97"/>
    <mergeCell ref="A16:C16"/>
    <mergeCell ref="A18:B18"/>
    <mergeCell ref="A1:G1"/>
    <mergeCell ref="A4:C4"/>
    <mergeCell ref="A3:C3"/>
    <mergeCell ref="D3:G3"/>
    <mergeCell ref="D5:G5"/>
    <mergeCell ref="A5:C5"/>
    <mergeCell ref="A7:C7"/>
    <mergeCell ref="A9:C9"/>
    <mergeCell ref="A10:B10"/>
    <mergeCell ref="A11:B11"/>
    <mergeCell ref="D7:E7"/>
    <mergeCell ref="A12:B12"/>
    <mergeCell ref="A13:B13"/>
    <mergeCell ref="A14:B14"/>
    <mergeCell ref="A51:I52"/>
    <mergeCell ref="A28:A31"/>
    <mergeCell ref="A32:A35"/>
    <mergeCell ref="A36:A39"/>
    <mergeCell ref="A20:A23"/>
    <mergeCell ref="H124:I124"/>
    <mergeCell ref="H125:I125"/>
    <mergeCell ref="H126:I126"/>
    <mergeCell ref="H127:I127"/>
    <mergeCell ref="H128:I128"/>
    <mergeCell ref="H121:I121"/>
    <mergeCell ref="H122:I122"/>
    <mergeCell ref="H123:I123"/>
    <mergeCell ref="H112:I112"/>
    <mergeCell ref="A113:I120"/>
    <mergeCell ref="A122:B122"/>
    <mergeCell ref="C122:D122"/>
    <mergeCell ref="E122:F122"/>
    <mergeCell ref="A123:B123"/>
    <mergeCell ref="C123:D123"/>
    <mergeCell ref="E123:F123"/>
    <mergeCell ref="A121:B121"/>
    <mergeCell ref="C121:D121"/>
    <mergeCell ref="E121:F121"/>
    <mergeCell ref="A126:B126"/>
    <mergeCell ref="C126:D126"/>
    <mergeCell ref="E126:F126"/>
    <mergeCell ref="A127:B127"/>
    <mergeCell ref="C127:D127"/>
    <mergeCell ref="H134:I134"/>
    <mergeCell ref="H135:I135"/>
    <mergeCell ref="H136:I136"/>
    <mergeCell ref="H137:I137"/>
    <mergeCell ref="H138:I138"/>
    <mergeCell ref="H129:I129"/>
    <mergeCell ref="H130:I130"/>
    <mergeCell ref="H131:I131"/>
    <mergeCell ref="H132:I132"/>
    <mergeCell ref="H133:I133"/>
    <mergeCell ref="H144:I144"/>
    <mergeCell ref="H145:I145"/>
    <mergeCell ref="H146:I146"/>
    <mergeCell ref="H147:I147"/>
    <mergeCell ref="H148:I148"/>
    <mergeCell ref="H139:I139"/>
    <mergeCell ref="H140:I140"/>
    <mergeCell ref="H141:I141"/>
    <mergeCell ref="H142:I142"/>
    <mergeCell ref="H143:I143"/>
    <mergeCell ref="H154:I154"/>
    <mergeCell ref="H155:I155"/>
    <mergeCell ref="H156:I156"/>
    <mergeCell ref="H157:I157"/>
    <mergeCell ref="H158:I158"/>
    <mergeCell ref="H149:I149"/>
    <mergeCell ref="H150:I150"/>
    <mergeCell ref="H151:I151"/>
    <mergeCell ref="H152:I152"/>
    <mergeCell ref="H153:I153"/>
    <mergeCell ref="H164:I164"/>
    <mergeCell ref="H165:I165"/>
    <mergeCell ref="H166:I166"/>
    <mergeCell ref="H167:I167"/>
    <mergeCell ref="H168:I168"/>
    <mergeCell ref="H159:I159"/>
    <mergeCell ref="H160:I160"/>
    <mergeCell ref="H161:I161"/>
    <mergeCell ref="H162:I162"/>
    <mergeCell ref="H163:I163"/>
    <mergeCell ref="H174:I174"/>
    <mergeCell ref="H175:I175"/>
    <mergeCell ref="H176:I176"/>
    <mergeCell ref="H177:I177"/>
    <mergeCell ref="H178:I178"/>
    <mergeCell ref="H169:I169"/>
    <mergeCell ref="H170:I170"/>
    <mergeCell ref="H171:I171"/>
    <mergeCell ref="H172:I172"/>
    <mergeCell ref="H173:I173"/>
    <mergeCell ref="H184:I184"/>
    <mergeCell ref="H185:I185"/>
    <mergeCell ref="H186:I186"/>
    <mergeCell ref="H187:I187"/>
    <mergeCell ref="H188:I188"/>
    <mergeCell ref="H179:I179"/>
    <mergeCell ref="H180:I180"/>
    <mergeCell ref="H181:I181"/>
    <mergeCell ref="H182:I182"/>
    <mergeCell ref="H183:I183"/>
    <mergeCell ref="H194:I194"/>
    <mergeCell ref="H195:I195"/>
    <mergeCell ref="H196:I196"/>
    <mergeCell ref="H197:I197"/>
    <mergeCell ref="H198:I198"/>
    <mergeCell ref="H189:I189"/>
    <mergeCell ref="H190:I190"/>
    <mergeCell ref="H191:I191"/>
    <mergeCell ref="H192:I192"/>
    <mergeCell ref="H193:I193"/>
    <mergeCell ref="H204:I204"/>
    <mergeCell ref="H205:I205"/>
    <mergeCell ref="H206:I206"/>
    <mergeCell ref="H207:I207"/>
    <mergeCell ref="H208:I208"/>
    <mergeCell ref="H199:I199"/>
    <mergeCell ref="H200:I200"/>
    <mergeCell ref="H201:I201"/>
    <mergeCell ref="H202:I202"/>
    <mergeCell ref="H203:I203"/>
    <mergeCell ref="H214:I214"/>
    <mergeCell ref="H215:I215"/>
    <mergeCell ref="H216:I216"/>
    <mergeCell ref="H217:I217"/>
    <mergeCell ref="H218:I218"/>
    <mergeCell ref="H209:I209"/>
    <mergeCell ref="H210:I210"/>
    <mergeCell ref="H211:I211"/>
    <mergeCell ref="H212:I212"/>
    <mergeCell ref="H213:I213"/>
    <mergeCell ref="H224:I224"/>
    <mergeCell ref="H225:I225"/>
    <mergeCell ref="H226:I226"/>
    <mergeCell ref="H227:I227"/>
    <mergeCell ref="H228:I228"/>
    <mergeCell ref="H219:I219"/>
    <mergeCell ref="H220:I220"/>
    <mergeCell ref="H221:I221"/>
    <mergeCell ref="H222:I222"/>
    <mergeCell ref="H223:I223"/>
    <mergeCell ref="H234:I234"/>
    <mergeCell ref="H235:I235"/>
    <mergeCell ref="H236:I236"/>
    <mergeCell ref="H237:I237"/>
    <mergeCell ref="H238:I238"/>
    <mergeCell ref="H229:I229"/>
    <mergeCell ref="H230:I230"/>
    <mergeCell ref="H231:I231"/>
    <mergeCell ref="H232:I232"/>
    <mergeCell ref="H233:I233"/>
    <mergeCell ref="H244:I244"/>
    <mergeCell ref="H245:I245"/>
    <mergeCell ref="H246:I246"/>
    <mergeCell ref="H247:I247"/>
    <mergeCell ref="H248:I248"/>
    <mergeCell ref="H239:I239"/>
    <mergeCell ref="H240:I240"/>
    <mergeCell ref="H241:I241"/>
    <mergeCell ref="H242:I242"/>
    <mergeCell ref="H243:I243"/>
    <mergeCell ref="H254:I254"/>
    <mergeCell ref="H255:I255"/>
    <mergeCell ref="H256:I256"/>
    <mergeCell ref="H257:I257"/>
    <mergeCell ref="H258:I258"/>
    <mergeCell ref="H249:I249"/>
    <mergeCell ref="H250:I250"/>
    <mergeCell ref="H251:I251"/>
    <mergeCell ref="H252:I252"/>
    <mergeCell ref="H253:I253"/>
    <mergeCell ref="H272:I272"/>
    <mergeCell ref="H273:I273"/>
    <mergeCell ref="H264:I264"/>
    <mergeCell ref="H265:I265"/>
    <mergeCell ref="H266:I266"/>
    <mergeCell ref="H267:I267"/>
    <mergeCell ref="H268:I268"/>
    <mergeCell ref="H259:I259"/>
    <mergeCell ref="H260:I260"/>
    <mergeCell ref="H261:I261"/>
    <mergeCell ref="H262:I262"/>
    <mergeCell ref="H263:I263"/>
    <mergeCell ref="H269:I269"/>
    <mergeCell ref="H270:I270"/>
    <mergeCell ref="H271:I271"/>
    <mergeCell ref="H289:I289"/>
    <mergeCell ref="H290:I290"/>
    <mergeCell ref="H291:I291"/>
    <mergeCell ref="H292:I292"/>
    <mergeCell ref="H293:I293"/>
    <mergeCell ref="H284:I284"/>
    <mergeCell ref="H285:I285"/>
    <mergeCell ref="H286:I286"/>
    <mergeCell ref="H287:I287"/>
    <mergeCell ref="H288:I288"/>
    <mergeCell ref="H279:I279"/>
    <mergeCell ref="H280:I280"/>
    <mergeCell ref="H281:I281"/>
    <mergeCell ref="H282:I282"/>
    <mergeCell ref="H283:I283"/>
    <mergeCell ref="H274:I274"/>
    <mergeCell ref="H275:I275"/>
    <mergeCell ref="H276:I276"/>
    <mergeCell ref="H277:I277"/>
    <mergeCell ref="H278:I278"/>
    <mergeCell ref="E127:F127"/>
    <mergeCell ref="A124:B124"/>
    <mergeCell ref="C124:D124"/>
    <mergeCell ref="E124:F124"/>
    <mergeCell ref="A125:B125"/>
    <mergeCell ref="C125:D125"/>
    <mergeCell ref="E125:F125"/>
    <mergeCell ref="A130:B130"/>
    <mergeCell ref="C130:D130"/>
    <mergeCell ref="E130:F130"/>
    <mergeCell ref="A131:B131"/>
    <mergeCell ref="C131:D131"/>
    <mergeCell ref="E131:F131"/>
    <mergeCell ref="A128:B128"/>
    <mergeCell ref="C128:D128"/>
    <mergeCell ref="E128:F128"/>
    <mergeCell ref="A129:B129"/>
    <mergeCell ref="C129:D129"/>
    <mergeCell ref="E129:F129"/>
    <mergeCell ref="A134:B134"/>
    <mergeCell ref="C134:D134"/>
    <mergeCell ref="E134:F134"/>
    <mergeCell ref="A135:B135"/>
    <mergeCell ref="C135:D135"/>
    <mergeCell ref="E135:F135"/>
    <mergeCell ref="A132:B132"/>
    <mergeCell ref="C132:D132"/>
    <mergeCell ref="E132:F132"/>
    <mergeCell ref="A133:B133"/>
    <mergeCell ref="C133:D133"/>
    <mergeCell ref="E133:F133"/>
    <mergeCell ref="A138:B138"/>
    <mergeCell ref="C138:D138"/>
    <mergeCell ref="E138:F138"/>
    <mergeCell ref="A139:B139"/>
    <mergeCell ref="C139:D139"/>
    <mergeCell ref="E139:F139"/>
    <mergeCell ref="A136:B136"/>
    <mergeCell ref="C136:D136"/>
    <mergeCell ref="E136:F136"/>
    <mergeCell ref="A137:B137"/>
    <mergeCell ref="C137:D137"/>
    <mergeCell ref="E137:F137"/>
    <mergeCell ref="A142:B142"/>
    <mergeCell ref="C142:D142"/>
    <mergeCell ref="E142:F142"/>
    <mergeCell ref="A143:B143"/>
    <mergeCell ref="C143:D143"/>
    <mergeCell ref="E143:F143"/>
    <mergeCell ref="A140:B140"/>
    <mergeCell ref="C140:D140"/>
    <mergeCell ref="E140:F140"/>
    <mergeCell ref="A141:B141"/>
    <mergeCell ref="C141:D141"/>
    <mergeCell ref="E141:F141"/>
  </mergeCells>
  <conditionalFormatting sqref="A1:H1">
    <cfRule type="expression" dxfId="2" priority="4">
      <formula>$G7="Mujer"</formula>
    </cfRule>
  </conditionalFormatting>
  <dataValidations count="1">
    <dataValidation type="list" allowBlank="1" showInputMessage="1" showErrorMessage="1" sqref="A88:I89">
      <formula1>Conclusión</formula1>
    </dataValidation>
  </dataValidations>
  <pageMargins left="0.7" right="0.7" top="0.75" bottom="0.75" header="0.3" footer="0.3"/>
  <pageSetup paperSize="9" orientation="portrait" horizontalDpi="4294967292" r:id="rId1"/>
  <headerFooter>
    <oddHeader>&amp;LSantiago Montecatine Olmo&amp;CProyecto Integrador Intermedio II - I-2020&amp;RUnifranz</oddHead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I197"/>
  <sheetViews>
    <sheetView view="pageLayout" topLeftCell="A13" workbookViewId="0">
      <selection activeCell="B21" sqref="B21"/>
    </sheetView>
  </sheetViews>
  <sheetFormatPr baseColWidth="10" defaultRowHeight="15" x14ac:dyDescent="0.25"/>
  <cols>
    <col min="1" max="1" width="7.5703125" customWidth="1"/>
    <col min="2" max="2" width="15.5703125" customWidth="1"/>
    <col min="3" max="3" width="4.7109375" customWidth="1"/>
    <col min="4" max="4" width="5.140625" customWidth="1"/>
    <col min="5" max="5" width="4.7109375" customWidth="1"/>
  </cols>
  <sheetData>
    <row r="1" spans="1:9" ht="26.25" x14ac:dyDescent="0.3">
      <c r="A1" s="137" t="s">
        <v>158</v>
      </c>
      <c r="B1" s="137"/>
      <c r="C1" s="137"/>
      <c r="D1" s="137"/>
      <c r="E1" s="137"/>
      <c r="F1" s="137"/>
      <c r="G1" s="137"/>
      <c r="H1" s="137"/>
      <c r="I1" s="86" t="s">
        <v>205</v>
      </c>
    </row>
    <row r="2" spans="1:9" x14ac:dyDescent="0.25">
      <c r="A2" s="5"/>
      <c r="B2" s="5"/>
      <c r="C2" s="5"/>
      <c r="D2" s="5"/>
      <c r="E2" s="5"/>
      <c r="F2" s="5"/>
      <c r="G2" s="34"/>
      <c r="H2" s="72"/>
      <c r="I2" s="73"/>
    </row>
    <row r="3" spans="1:9" x14ac:dyDescent="0.25">
      <c r="A3" s="141" t="s">
        <v>209</v>
      </c>
      <c r="B3" s="142"/>
      <c r="C3" s="143"/>
      <c r="D3" s="144" t="str">
        <f>Datos!E3</f>
        <v>Jorge Nestor Limachi Llanos</v>
      </c>
      <c r="E3" s="145"/>
      <c r="F3" s="145"/>
      <c r="G3" s="146"/>
      <c r="H3" s="74"/>
      <c r="I3" s="73"/>
    </row>
    <row r="4" spans="1:9" x14ac:dyDescent="0.25">
      <c r="A4" s="138"/>
      <c r="B4" s="139"/>
      <c r="C4" s="140"/>
      <c r="D4" s="5"/>
      <c r="E4" s="5"/>
      <c r="F4" s="5"/>
      <c r="G4" s="5"/>
      <c r="H4" s="72"/>
      <c r="I4" s="73"/>
    </row>
    <row r="5" spans="1:9" x14ac:dyDescent="0.25">
      <c r="A5" s="141" t="s">
        <v>159</v>
      </c>
      <c r="B5" s="142"/>
      <c r="C5" s="143"/>
      <c r="D5" s="144" t="str">
        <f>"MED"&amp;Datos!D3</f>
        <v>MED7966023</v>
      </c>
      <c r="E5" s="145"/>
      <c r="F5" s="145"/>
      <c r="G5" s="146"/>
      <c r="H5" s="74"/>
      <c r="I5" s="73"/>
    </row>
    <row r="6" spans="1:9" x14ac:dyDescent="0.25">
      <c r="A6" s="5"/>
      <c r="B6" s="5"/>
      <c r="C6" s="5"/>
      <c r="D6" s="5"/>
      <c r="E6" s="5"/>
      <c r="F6" s="5"/>
      <c r="G6" s="34"/>
      <c r="H6" s="72"/>
      <c r="I6" s="73"/>
    </row>
    <row r="7" spans="1:9" x14ac:dyDescent="0.25">
      <c r="A7" s="141" t="s">
        <v>161</v>
      </c>
      <c r="B7" s="142"/>
      <c r="C7" s="143"/>
      <c r="D7" s="147">
        <f>Datos!C3</f>
        <v>1997</v>
      </c>
      <c r="E7" s="148"/>
      <c r="F7" s="87" t="s">
        <v>160</v>
      </c>
      <c r="G7" s="42" t="str">
        <f>Datos!F3</f>
        <v>Hombre</v>
      </c>
      <c r="H7" s="35"/>
      <c r="I7" s="23"/>
    </row>
    <row r="8" spans="1:9" x14ac:dyDescent="0.25">
      <c r="B8" s="5"/>
      <c r="C8" s="5"/>
      <c r="D8" s="5"/>
      <c r="E8" s="5"/>
      <c r="F8" s="5"/>
      <c r="G8" s="5"/>
      <c r="H8" s="34"/>
      <c r="I8" s="5"/>
    </row>
    <row r="9" spans="1:9" ht="19.5" customHeight="1" x14ac:dyDescent="0.4">
      <c r="A9" s="134" t="s">
        <v>187</v>
      </c>
      <c r="B9" s="134"/>
      <c r="C9" s="135"/>
      <c r="D9" s="37" t="s">
        <v>0</v>
      </c>
      <c r="E9" s="43" t="s">
        <v>188</v>
      </c>
      <c r="F9" s="5"/>
      <c r="G9" s="5"/>
      <c r="H9" s="5"/>
      <c r="I9" s="5"/>
    </row>
    <row r="10" spans="1:9" ht="23.25" customHeight="1" x14ac:dyDescent="0.25">
      <c r="A10" s="113" t="s">
        <v>142</v>
      </c>
      <c r="B10" s="113"/>
      <c r="C10" s="44" t="s">
        <v>182</v>
      </c>
      <c r="D10" s="39">
        <f>cal_fem!A11</f>
        <v>87</v>
      </c>
      <c r="E10" s="45">
        <f>cal_fem!B11</f>
        <v>70</v>
      </c>
      <c r="F10" s="5"/>
      <c r="G10" s="5"/>
      <c r="H10" s="5"/>
      <c r="I10" s="5"/>
    </row>
    <row r="11" spans="1:9" ht="23.25" customHeight="1" x14ac:dyDescent="0.25">
      <c r="A11" s="113" t="s">
        <v>145</v>
      </c>
      <c r="B11" s="113"/>
      <c r="C11" s="44" t="s">
        <v>166</v>
      </c>
      <c r="D11" s="40">
        <f>cal_fem!D11</f>
        <v>77</v>
      </c>
      <c r="E11" s="46">
        <f>cal_fem!E11</f>
        <v>4</v>
      </c>
      <c r="F11" s="5"/>
      <c r="G11" s="5"/>
      <c r="H11" s="5"/>
      <c r="I11" s="5"/>
    </row>
    <row r="12" spans="1:9" ht="23.25" customHeight="1" x14ac:dyDescent="0.25">
      <c r="A12" s="113" t="s">
        <v>148</v>
      </c>
      <c r="B12" s="113"/>
      <c r="C12" s="44" t="s">
        <v>183</v>
      </c>
      <c r="D12" s="40">
        <f>cal_fem!G11</f>
        <v>71</v>
      </c>
      <c r="E12" s="46">
        <f>cal_fem!H11</f>
        <v>3</v>
      </c>
      <c r="F12" s="5"/>
      <c r="G12" s="5"/>
      <c r="H12" s="5"/>
      <c r="I12" s="5"/>
    </row>
    <row r="13" spans="1:9" ht="23.25" customHeight="1" x14ac:dyDescent="0.25">
      <c r="A13" s="113" t="s">
        <v>151</v>
      </c>
      <c r="B13" s="113"/>
      <c r="C13" s="44" t="s">
        <v>184</v>
      </c>
      <c r="D13" s="41">
        <f>cal_fem!J11</f>
        <v>55</v>
      </c>
      <c r="E13" s="47">
        <f>cal_fem!K11</f>
        <v>5</v>
      </c>
      <c r="F13" s="5"/>
      <c r="G13" s="5"/>
      <c r="H13" s="5"/>
      <c r="I13" s="5"/>
    </row>
    <row r="14" spans="1:9" ht="23.25" customHeight="1" x14ac:dyDescent="0.25">
      <c r="A14" s="149" t="s">
        <v>189</v>
      </c>
      <c r="B14" s="149"/>
      <c r="C14" s="48" t="s">
        <v>185</v>
      </c>
      <c r="D14" s="35">
        <f>cal_fem!M11</f>
        <v>87</v>
      </c>
      <c r="E14" s="49">
        <f>cal_fem!N11</f>
        <v>40</v>
      </c>
      <c r="F14" s="5"/>
      <c r="G14" s="5"/>
      <c r="H14" s="5"/>
      <c r="I14" s="5"/>
    </row>
    <row r="15" spans="1:9" x14ac:dyDescent="0.25">
      <c r="A15" s="5"/>
      <c r="B15" s="5"/>
      <c r="C15" s="5"/>
      <c r="D15" s="5"/>
      <c r="E15" s="5"/>
      <c r="F15" s="5"/>
      <c r="G15" s="5"/>
      <c r="H15" s="5"/>
      <c r="I15" s="5"/>
    </row>
    <row r="16" spans="1:9" ht="18.75" x14ac:dyDescent="0.4">
      <c r="A16" s="134" t="s">
        <v>187</v>
      </c>
      <c r="B16" s="134"/>
      <c r="C16" s="135"/>
      <c r="D16" s="50" t="s">
        <v>0</v>
      </c>
      <c r="E16" s="51" t="s">
        <v>188</v>
      </c>
      <c r="F16" s="64"/>
      <c r="G16" s="64"/>
      <c r="H16" s="64"/>
      <c r="I16" s="64"/>
    </row>
    <row r="17" spans="1:9" ht="9.75" customHeight="1" x14ac:dyDescent="0.25">
      <c r="A17" s="5"/>
      <c r="B17" s="5"/>
      <c r="C17" s="5"/>
      <c r="D17" s="5"/>
      <c r="E17" s="5"/>
      <c r="F17" s="5"/>
      <c r="G17" s="5"/>
      <c r="H17" s="5"/>
      <c r="I17" s="5"/>
    </row>
    <row r="18" spans="1:9" x14ac:dyDescent="0.25">
      <c r="A18" s="136" t="s">
        <v>155</v>
      </c>
      <c r="B18" s="136"/>
      <c r="C18" s="52" t="s">
        <v>186</v>
      </c>
      <c r="D18" s="39">
        <f>cal_fem!P11</f>
        <v>32</v>
      </c>
      <c r="E18" s="45">
        <f>cal_fem!Q11</f>
        <v>60</v>
      </c>
      <c r="F18" s="5"/>
      <c r="G18" s="5"/>
      <c r="H18" s="5"/>
      <c r="I18" s="5"/>
    </row>
    <row r="19" spans="1:9" ht="15.75" thickBot="1" x14ac:dyDescent="0.3">
      <c r="A19" s="67"/>
      <c r="B19" s="56"/>
      <c r="C19" s="56"/>
      <c r="D19" s="56"/>
      <c r="E19" s="53"/>
      <c r="F19" s="5"/>
      <c r="G19" s="5"/>
      <c r="H19" s="5"/>
      <c r="I19" s="5"/>
    </row>
    <row r="20" spans="1:9" x14ac:dyDescent="0.25">
      <c r="A20" s="156" t="s">
        <v>190</v>
      </c>
      <c r="B20" s="36"/>
      <c r="C20" s="5"/>
      <c r="D20" s="5"/>
      <c r="E20" s="5"/>
      <c r="F20" s="5"/>
      <c r="G20" s="5"/>
      <c r="H20" s="5"/>
      <c r="I20" s="5"/>
    </row>
    <row r="21" spans="1:9" x14ac:dyDescent="0.25">
      <c r="A21" s="157"/>
      <c r="B21" s="36" t="s">
        <v>140</v>
      </c>
      <c r="C21" s="64" t="s">
        <v>164</v>
      </c>
      <c r="D21" s="39">
        <f>cal_fem!A8</f>
        <v>48</v>
      </c>
      <c r="E21" s="45">
        <f>cal_fem!A9</f>
        <v>75</v>
      </c>
      <c r="F21" s="5"/>
      <c r="G21" s="5"/>
      <c r="H21" s="5"/>
      <c r="I21" s="5"/>
    </row>
    <row r="22" spans="1:9" x14ac:dyDescent="0.25">
      <c r="A22" s="157"/>
      <c r="B22" s="36" t="s">
        <v>141</v>
      </c>
      <c r="C22" s="64" t="s">
        <v>167</v>
      </c>
      <c r="D22" s="39">
        <f>cal_fem!B8</f>
        <v>39</v>
      </c>
      <c r="E22" s="45">
        <f>cal_fem!B9</f>
        <v>55</v>
      </c>
      <c r="F22" s="5"/>
      <c r="G22" s="5"/>
      <c r="H22" s="5"/>
      <c r="I22" s="5"/>
    </row>
    <row r="23" spans="1:9" ht="15.75" thickBot="1" x14ac:dyDescent="0.3">
      <c r="A23" s="158"/>
      <c r="B23" s="53"/>
      <c r="C23" s="69"/>
      <c r="D23" s="56"/>
      <c r="E23" s="53"/>
      <c r="F23" s="5"/>
      <c r="G23" s="5"/>
      <c r="H23" s="5"/>
      <c r="I23" s="5"/>
    </row>
    <row r="24" spans="1:9" x14ac:dyDescent="0.25">
      <c r="A24" s="163" t="s">
        <v>191</v>
      </c>
      <c r="B24" s="36"/>
      <c r="C24" s="64"/>
      <c r="D24" s="5"/>
      <c r="E24" s="5"/>
      <c r="F24" s="5"/>
      <c r="G24" s="5"/>
      <c r="H24" s="5"/>
      <c r="I24" s="5"/>
    </row>
    <row r="25" spans="1:9" x14ac:dyDescent="0.25">
      <c r="A25" s="164"/>
      <c r="B25" s="36" t="s">
        <v>143</v>
      </c>
      <c r="C25" s="64" t="s">
        <v>168</v>
      </c>
      <c r="D25" s="39">
        <f>cal_fem!D8</f>
        <v>37</v>
      </c>
      <c r="E25" s="45">
        <f>cal_fem!D9</f>
        <v>2</v>
      </c>
      <c r="F25" s="5"/>
      <c r="G25" s="5"/>
      <c r="H25" s="5"/>
      <c r="I25" s="5"/>
    </row>
    <row r="26" spans="1:9" x14ac:dyDescent="0.25">
      <c r="A26" s="164"/>
      <c r="B26" s="36" t="s">
        <v>144</v>
      </c>
      <c r="C26" s="64" t="s">
        <v>169</v>
      </c>
      <c r="D26" s="39">
        <f>cal_fem!E8</f>
        <v>40</v>
      </c>
      <c r="E26" s="45">
        <f>cal_fem!E9</f>
        <v>25</v>
      </c>
      <c r="F26" s="5"/>
      <c r="G26" s="5"/>
      <c r="H26" s="5"/>
      <c r="I26" s="5"/>
    </row>
    <row r="27" spans="1:9" ht="15.75" thickBot="1" x14ac:dyDescent="0.3">
      <c r="A27" s="165"/>
      <c r="B27" s="53"/>
      <c r="C27" s="69"/>
      <c r="D27" s="56"/>
      <c r="E27" s="53"/>
      <c r="F27" s="5"/>
      <c r="G27" s="5"/>
      <c r="H27" s="5"/>
      <c r="I27" s="5"/>
    </row>
    <row r="28" spans="1:9" x14ac:dyDescent="0.25">
      <c r="A28" s="156" t="s">
        <v>192</v>
      </c>
      <c r="B28" s="36"/>
      <c r="C28" s="64"/>
      <c r="D28" s="5"/>
      <c r="E28" s="5"/>
      <c r="F28" s="5"/>
      <c r="G28" s="5"/>
      <c r="H28" s="5"/>
      <c r="I28" s="5"/>
    </row>
    <row r="29" spans="1:9" x14ac:dyDescent="0.25">
      <c r="A29" s="157"/>
      <c r="B29" s="36" t="s">
        <v>146</v>
      </c>
      <c r="C29" s="64" t="s">
        <v>170</v>
      </c>
      <c r="D29" s="39">
        <f>cal_fem!G8</f>
        <v>32</v>
      </c>
      <c r="E29" s="45">
        <f>cal_fem!G9</f>
        <v>5</v>
      </c>
      <c r="F29" s="5"/>
      <c r="G29" s="5"/>
      <c r="H29" s="5"/>
      <c r="I29" s="5"/>
    </row>
    <row r="30" spans="1:9" x14ac:dyDescent="0.25">
      <c r="A30" s="157"/>
      <c r="B30" s="36" t="s">
        <v>193</v>
      </c>
      <c r="C30" s="64" t="s">
        <v>171</v>
      </c>
      <c r="D30" s="39">
        <f>cal_fem!H8</f>
        <v>39</v>
      </c>
      <c r="E30" s="45">
        <f>cal_fem!H9</f>
        <v>5</v>
      </c>
      <c r="F30" s="5"/>
      <c r="G30" s="5"/>
      <c r="H30" s="5"/>
      <c r="I30" s="5"/>
    </row>
    <row r="31" spans="1:9" ht="15.75" thickBot="1" x14ac:dyDescent="0.3">
      <c r="A31" s="158"/>
      <c r="B31" s="53"/>
      <c r="C31" s="69"/>
      <c r="D31" s="56"/>
      <c r="E31" s="53"/>
      <c r="F31" s="5"/>
      <c r="G31" s="5"/>
      <c r="H31" s="5"/>
      <c r="I31" s="5"/>
    </row>
    <row r="32" spans="1:9" x14ac:dyDescent="0.25">
      <c r="A32" s="159" t="s">
        <v>194</v>
      </c>
      <c r="B32" s="36"/>
      <c r="C32" s="64"/>
      <c r="D32" s="5"/>
      <c r="E32" s="5"/>
      <c r="F32" s="5"/>
      <c r="G32" s="5"/>
      <c r="H32" s="5"/>
      <c r="I32" s="5"/>
    </row>
    <row r="33" spans="1:9" x14ac:dyDescent="0.25">
      <c r="A33" s="160"/>
      <c r="B33" s="36" t="s">
        <v>195</v>
      </c>
      <c r="C33" s="64" t="s">
        <v>172</v>
      </c>
      <c r="D33" s="39">
        <f>cal_fem!J8</f>
        <v>30</v>
      </c>
      <c r="E33" s="45">
        <f>cal_fem!J9</f>
        <v>10</v>
      </c>
      <c r="F33" s="5"/>
      <c r="G33" s="5"/>
      <c r="H33" s="5"/>
      <c r="I33" s="5"/>
    </row>
    <row r="34" spans="1:9" x14ac:dyDescent="0.25">
      <c r="A34" s="160"/>
      <c r="B34" s="36" t="s">
        <v>196</v>
      </c>
      <c r="C34" s="64" t="s">
        <v>173</v>
      </c>
      <c r="D34" s="39">
        <f>cal_fem!K8</f>
        <v>25</v>
      </c>
      <c r="E34" s="45">
        <f>cal_fem!K9</f>
        <v>4</v>
      </c>
      <c r="F34" s="5"/>
      <c r="G34" s="5"/>
      <c r="H34" s="5"/>
      <c r="I34" s="5"/>
    </row>
    <row r="35" spans="1:9" ht="15.75" thickBot="1" x14ac:dyDescent="0.3">
      <c r="A35" s="161"/>
      <c r="B35" s="65"/>
      <c r="C35" s="70"/>
      <c r="D35" s="54"/>
      <c r="E35" s="53"/>
      <c r="F35" s="5"/>
      <c r="G35" s="5"/>
      <c r="H35" s="5"/>
      <c r="I35" s="5"/>
    </row>
    <row r="36" spans="1:9" x14ac:dyDescent="0.25">
      <c r="A36" s="162" t="s">
        <v>197</v>
      </c>
      <c r="B36" s="66"/>
      <c r="C36" s="71"/>
      <c r="D36" s="55"/>
      <c r="F36" s="5"/>
      <c r="G36" s="5"/>
      <c r="H36" s="5"/>
      <c r="I36" s="5"/>
    </row>
    <row r="37" spans="1:9" x14ac:dyDescent="0.25">
      <c r="A37" s="157"/>
      <c r="B37" s="36" t="s">
        <v>198</v>
      </c>
      <c r="C37" s="64" t="s">
        <v>174</v>
      </c>
      <c r="D37" s="39">
        <f>cal_fem!M8</f>
        <v>38</v>
      </c>
      <c r="E37" s="45">
        <f>cal_fem!M9</f>
        <v>20</v>
      </c>
      <c r="F37" s="5"/>
      <c r="G37" s="5"/>
      <c r="H37" s="5"/>
      <c r="I37" s="5"/>
    </row>
    <row r="38" spans="1:9" x14ac:dyDescent="0.25">
      <c r="A38" s="157"/>
      <c r="B38" s="36" t="s">
        <v>199</v>
      </c>
      <c r="C38" s="64" t="s">
        <v>175</v>
      </c>
      <c r="D38" s="39">
        <f>cal_fem!N8</f>
        <v>49</v>
      </c>
      <c r="E38" s="45">
        <f>cal_fem!N9</f>
        <v>80</v>
      </c>
      <c r="F38" s="5"/>
      <c r="G38" s="5"/>
      <c r="H38" s="5"/>
      <c r="I38" s="5"/>
    </row>
    <row r="39" spans="1:9" ht="15.75" thickBot="1" x14ac:dyDescent="0.3">
      <c r="A39" s="158"/>
      <c r="B39" s="53"/>
      <c r="C39" s="56"/>
      <c r="D39" s="56"/>
      <c r="E39" s="53"/>
      <c r="F39" s="5"/>
      <c r="G39" s="5"/>
      <c r="H39" s="5"/>
      <c r="I39" s="5"/>
    </row>
    <row r="40" spans="1:9" ht="18.75" x14ac:dyDescent="0.4">
      <c r="A40" s="68"/>
      <c r="B40" s="5"/>
      <c r="C40" s="5"/>
      <c r="D40" s="37" t="s">
        <v>0</v>
      </c>
      <c r="E40" s="37" t="s">
        <v>188</v>
      </c>
      <c r="F40" s="5"/>
      <c r="G40" s="5"/>
      <c r="H40" s="5"/>
      <c r="I40" s="5"/>
    </row>
    <row r="41" spans="1:9" x14ac:dyDescent="0.25">
      <c r="A41" s="5"/>
      <c r="B41" s="5"/>
      <c r="C41" s="5"/>
      <c r="D41" s="5"/>
      <c r="E41" s="5"/>
      <c r="F41" s="5"/>
      <c r="G41" s="5"/>
      <c r="H41" s="5"/>
      <c r="I41" s="5"/>
    </row>
    <row r="42" spans="1:9" x14ac:dyDescent="0.25">
      <c r="A42" s="5"/>
      <c r="B42" s="5"/>
      <c r="C42" s="5"/>
      <c r="D42" s="5"/>
      <c r="E42" s="5"/>
      <c r="F42" s="5"/>
      <c r="G42" s="5"/>
      <c r="H42" s="5"/>
      <c r="I42" s="5"/>
    </row>
    <row r="43" spans="1:9" x14ac:dyDescent="0.25">
      <c r="A43" s="5"/>
      <c r="B43" s="5"/>
      <c r="C43" s="5"/>
      <c r="D43" s="5"/>
      <c r="E43" s="5"/>
      <c r="F43" s="5"/>
      <c r="G43" s="5"/>
      <c r="H43" s="5"/>
      <c r="I43" s="5"/>
    </row>
    <row r="44" spans="1:9" x14ac:dyDescent="0.25">
      <c r="A44" s="5"/>
      <c r="B44" s="5"/>
      <c r="C44" s="5"/>
      <c r="D44" s="5"/>
      <c r="E44" s="5"/>
      <c r="F44" s="5"/>
      <c r="G44" s="5"/>
      <c r="H44" s="5"/>
      <c r="I44" s="5"/>
    </row>
    <row r="45" spans="1:9" x14ac:dyDescent="0.25">
      <c r="A45" s="5"/>
      <c r="B45" s="5"/>
      <c r="C45" s="5"/>
      <c r="D45" s="5"/>
      <c r="E45" s="5"/>
      <c r="F45" s="5"/>
      <c r="G45" s="5"/>
      <c r="H45" s="5"/>
      <c r="I45" s="5"/>
    </row>
    <row r="46" spans="1:9" x14ac:dyDescent="0.25">
      <c r="A46" s="5"/>
      <c r="B46" s="5"/>
      <c r="C46" s="5"/>
      <c r="D46" s="5"/>
      <c r="E46" s="5"/>
      <c r="F46" s="5"/>
      <c r="G46" s="5"/>
      <c r="H46" s="5"/>
      <c r="I46" s="5"/>
    </row>
    <row r="47" spans="1:9" ht="26.25" x14ac:dyDescent="0.4">
      <c r="A47" s="172" t="s">
        <v>210</v>
      </c>
      <c r="B47" s="173"/>
      <c r="C47" s="173"/>
      <c r="D47" s="173"/>
      <c r="E47" s="114"/>
      <c r="F47" s="115"/>
      <c r="G47" s="115"/>
      <c r="H47" s="116"/>
      <c r="I47" s="118"/>
    </row>
    <row r="48" spans="1:9" x14ac:dyDescent="0.25">
      <c r="A48" s="176" t="s">
        <v>155</v>
      </c>
      <c r="B48" s="177"/>
      <c r="C48" s="177"/>
      <c r="D48" s="178"/>
      <c r="E48" s="174"/>
      <c r="F48" s="175"/>
      <c r="G48" s="175"/>
      <c r="H48" s="122"/>
      <c r="I48" s="124"/>
    </row>
    <row r="49" spans="1:9" x14ac:dyDescent="0.25">
      <c r="A49" s="116" t="str">
        <f>VLOOKUP(E18,Interpretación!A1:B100,2,FALSE)&amp;"."</f>
        <v>Perfil libre de sesgo en sentido positivo o negativo.</v>
      </c>
      <c r="B49" s="117"/>
      <c r="C49" s="117"/>
      <c r="D49" s="117"/>
      <c r="E49" s="117"/>
      <c r="F49" s="117"/>
      <c r="G49" s="117"/>
      <c r="H49" s="117"/>
      <c r="I49" s="118"/>
    </row>
    <row r="50" spans="1:9" x14ac:dyDescent="0.25">
      <c r="A50" s="122"/>
      <c r="B50" s="123"/>
      <c r="C50" s="123"/>
      <c r="D50" s="123"/>
      <c r="E50" s="123"/>
      <c r="F50" s="123"/>
      <c r="G50" s="123"/>
      <c r="H50" s="123"/>
      <c r="I50" s="124"/>
    </row>
    <row r="51" spans="1:9" x14ac:dyDescent="0.25">
      <c r="A51" s="150" t="s">
        <v>248</v>
      </c>
      <c r="B51" s="151"/>
      <c r="C51" s="151"/>
      <c r="D51" s="151"/>
      <c r="E51" s="151"/>
      <c r="F51" s="151"/>
      <c r="G51" s="151"/>
      <c r="H51" s="151"/>
      <c r="I51" s="152"/>
    </row>
    <row r="52" spans="1:9" x14ac:dyDescent="0.25">
      <c r="A52" s="153"/>
      <c r="B52" s="154"/>
      <c r="C52" s="154"/>
      <c r="D52" s="154"/>
      <c r="E52" s="154"/>
      <c r="F52" s="154"/>
      <c r="G52" s="154"/>
      <c r="H52" s="154"/>
      <c r="I52" s="155"/>
    </row>
    <row r="53" spans="1:9" x14ac:dyDescent="0.25">
      <c r="A53" s="114" t="s">
        <v>215</v>
      </c>
      <c r="B53" s="115"/>
      <c r="C53" s="171"/>
      <c r="D53" s="114" t="str">
        <f>VLOOKUP(E10,Interpretación!A1:C100,3,FALSE)&amp;"."</f>
        <v xml:space="preserve"> medio-alto.</v>
      </c>
      <c r="E53" s="115"/>
      <c r="F53" s="171"/>
      <c r="G53" s="114"/>
      <c r="H53" s="115"/>
      <c r="I53" s="171"/>
    </row>
    <row r="54" spans="1:9" x14ac:dyDescent="0.25">
      <c r="A54" s="116" t="str">
        <f>VLOOKUP(E21,Interpretación!A:D,4,FALSE)&amp;". "&amp;VLOOKUP(E22,Interpretación!A:E,5,FALSE)</f>
        <v>Podemos considerar que se trata de una persona bastante dinámica, activa, enérgica y que goza de ser proactiva. Además, se le puede describir como medianamente dominante, suele reaccionar de forma asertiva.</v>
      </c>
      <c r="B54" s="117"/>
      <c r="C54" s="117"/>
      <c r="D54" s="117"/>
      <c r="E54" s="117"/>
      <c r="F54" s="117"/>
      <c r="G54" s="117"/>
      <c r="H54" s="117"/>
      <c r="I54" s="118"/>
    </row>
    <row r="55" spans="1:9" x14ac:dyDescent="0.25">
      <c r="A55" s="119"/>
      <c r="B55" s="120"/>
      <c r="C55" s="120"/>
      <c r="D55" s="120"/>
      <c r="E55" s="120"/>
      <c r="F55" s="120"/>
      <c r="G55" s="120"/>
      <c r="H55" s="120"/>
      <c r="I55" s="121"/>
    </row>
    <row r="56" spans="1:9" ht="23.25" customHeight="1" x14ac:dyDescent="0.25">
      <c r="A56" s="119"/>
      <c r="B56" s="120"/>
      <c r="C56" s="120"/>
      <c r="D56" s="120"/>
      <c r="E56" s="120"/>
      <c r="F56" s="120"/>
      <c r="G56" s="120"/>
      <c r="H56" s="120"/>
      <c r="I56" s="121"/>
    </row>
    <row r="57" spans="1:9" x14ac:dyDescent="0.25">
      <c r="A57" s="150" t="s">
        <v>237</v>
      </c>
      <c r="B57" s="166"/>
      <c r="C57" s="166"/>
      <c r="D57" s="166"/>
      <c r="E57" s="166"/>
      <c r="F57" s="166"/>
      <c r="G57" s="166"/>
      <c r="H57" s="166"/>
      <c r="I57" s="167"/>
    </row>
    <row r="58" spans="1:9" x14ac:dyDescent="0.25">
      <c r="A58" s="168"/>
      <c r="B58" s="169"/>
      <c r="C58" s="169"/>
      <c r="D58" s="169"/>
      <c r="E58" s="169"/>
      <c r="F58" s="169"/>
      <c r="G58" s="169"/>
      <c r="H58" s="169"/>
      <c r="I58" s="170"/>
    </row>
    <row r="59" spans="1:9" x14ac:dyDescent="0.25">
      <c r="A59" s="114" t="s">
        <v>215</v>
      </c>
      <c r="B59" s="115"/>
      <c r="C59" s="171"/>
      <c r="D59" s="114" t="str">
        <f>VLOOKUP(E11,Interpretación!A1:C100,3,FALSE)&amp;"."</f>
        <v xml:space="preserve"> muy bajo.</v>
      </c>
      <c r="E59" s="115"/>
      <c r="F59" s="171"/>
      <c r="G59" s="114"/>
      <c r="H59" s="115"/>
      <c r="I59" s="171"/>
    </row>
    <row r="60" spans="1:9" x14ac:dyDescent="0.25">
      <c r="A60" s="116" t="str">
        <f>VLOOKUP(E25,Interpretación!A:F,6,FALSE)&amp;". "&amp;VLOOKUP(E26,Interpretación!A:G,7,FALSE)</f>
        <v>Se le considera una persona muy poco cooperativa y muy poco empática. Por otra parte, suele ser una persona poco cordial, poco altruista, poco amigable, poco generosa y poco amable.</v>
      </c>
      <c r="B60" s="117"/>
      <c r="C60" s="117"/>
      <c r="D60" s="117"/>
      <c r="E60" s="117"/>
      <c r="F60" s="117"/>
      <c r="G60" s="117"/>
      <c r="H60" s="117"/>
      <c r="I60" s="118"/>
    </row>
    <row r="61" spans="1:9" x14ac:dyDescent="0.25">
      <c r="A61" s="119"/>
      <c r="B61" s="120"/>
      <c r="C61" s="120"/>
      <c r="D61" s="120"/>
      <c r="E61" s="120"/>
      <c r="F61" s="120"/>
      <c r="G61" s="120"/>
      <c r="H61" s="120"/>
      <c r="I61" s="121"/>
    </row>
    <row r="62" spans="1:9" x14ac:dyDescent="0.25">
      <c r="A62" s="122"/>
      <c r="B62" s="123"/>
      <c r="C62" s="123"/>
      <c r="D62" s="123"/>
      <c r="E62" s="123"/>
      <c r="F62" s="123"/>
      <c r="G62" s="123"/>
      <c r="H62" s="123"/>
      <c r="I62" s="124"/>
    </row>
    <row r="63" spans="1:9" x14ac:dyDescent="0.25">
      <c r="A63" s="116" t="s">
        <v>249</v>
      </c>
      <c r="B63" s="117"/>
      <c r="C63" s="117"/>
      <c r="D63" s="117"/>
      <c r="E63" s="117"/>
      <c r="F63" s="117"/>
      <c r="G63" s="117"/>
      <c r="H63" s="117"/>
      <c r="I63" s="118"/>
    </row>
    <row r="64" spans="1:9" x14ac:dyDescent="0.25">
      <c r="A64" s="122"/>
      <c r="B64" s="123"/>
      <c r="C64" s="123"/>
      <c r="D64" s="123"/>
      <c r="E64" s="123"/>
      <c r="F64" s="123"/>
      <c r="G64" s="123"/>
      <c r="H64" s="123"/>
      <c r="I64" s="124"/>
    </row>
    <row r="65" spans="1:9" x14ac:dyDescent="0.25">
      <c r="A65" s="114" t="s">
        <v>215</v>
      </c>
      <c r="B65" s="115"/>
      <c r="C65" s="171"/>
      <c r="D65" s="114" t="str">
        <f>VLOOKUP(E12,Interpretación!A1:C100,3,FALSE)&amp;"."</f>
        <v xml:space="preserve"> muy bajo.</v>
      </c>
      <c r="E65" s="115"/>
      <c r="F65" s="171"/>
      <c r="G65" s="114"/>
      <c r="H65" s="115"/>
      <c r="I65" s="171"/>
    </row>
    <row r="66" spans="1:9" x14ac:dyDescent="0.25">
      <c r="A66" s="116" t="str">
        <f>VLOOKUP(E29,Interpretación!A:I,8,FALSE)&amp;". "&amp;VLOOKUP(E30,Interpretación!A:I,9,FALSE)</f>
        <v>Su puntuación revela que es una persona muy poco reflexiva, escrupulosa, ordenada o diligente. Suele presentar muy poca perseverancia y tenacidad en la consecución de metas.</v>
      </c>
      <c r="B66" s="117"/>
      <c r="C66" s="117"/>
      <c r="D66" s="117"/>
      <c r="E66" s="117"/>
      <c r="F66" s="117"/>
      <c r="G66" s="117"/>
      <c r="H66" s="117"/>
      <c r="I66" s="118"/>
    </row>
    <row r="67" spans="1:9" x14ac:dyDescent="0.25">
      <c r="A67" s="119"/>
      <c r="B67" s="120"/>
      <c r="C67" s="120"/>
      <c r="D67" s="120"/>
      <c r="E67" s="120"/>
      <c r="F67" s="120"/>
      <c r="G67" s="120"/>
      <c r="H67" s="120"/>
      <c r="I67" s="121"/>
    </row>
    <row r="68" spans="1:9" x14ac:dyDescent="0.25">
      <c r="A68" s="122"/>
      <c r="B68" s="123"/>
      <c r="C68" s="123"/>
      <c r="D68" s="123"/>
      <c r="E68" s="123"/>
      <c r="F68" s="123"/>
      <c r="G68" s="123"/>
      <c r="H68" s="123"/>
      <c r="I68" s="124"/>
    </row>
    <row r="69" spans="1:9" x14ac:dyDescent="0.25">
      <c r="A69" s="179" t="s">
        <v>257</v>
      </c>
      <c r="B69" s="180"/>
      <c r="C69" s="180"/>
      <c r="D69" s="180"/>
      <c r="E69" s="180"/>
      <c r="F69" s="180"/>
      <c r="G69" s="180"/>
      <c r="H69" s="180"/>
      <c r="I69" s="181"/>
    </row>
    <row r="70" spans="1:9" x14ac:dyDescent="0.25">
      <c r="A70" s="182"/>
      <c r="B70" s="183"/>
      <c r="C70" s="183"/>
      <c r="D70" s="183"/>
      <c r="E70" s="183"/>
      <c r="F70" s="183"/>
      <c r="G70" s="183"/>
      <c r="H70" s="183"/>
      <c r="I70" s="184"/>
    </row>
    <row r="71" spans="1:9" x14ac:dyDescent="0.25">
      <c r="A71" s="114" t="s">
        <v>215</v>
      </c>
      <c r="B71" s="115"/>
      <c r="C71" s="171"/>
      <c r="D71" s="114" t="str">
        <f>VLOOKUP(E13,Interpretación!A1:C100,3,FALSE)&amp;"."</f>
        <v xml:space="preserve"> muy bajo.</v>
      </c>
      <c r="E71" s="115"/>
      <c r="F71" s="171"/>
      <c r="G71" s="114"/>
      <c r="H71" s="115"/>
      <c r="I71" s="171"/>
    </row>
    <row r="72" spans="1:9" x14ac:dyDescent="0.25">
      <c r="A72" s="116" t="str">
        <f>VLOOKUP(E33,Interpretación!A:K,10,FALSE)&amp;". "&amp;VLOOKUP(E34,Interpretación!A:K,11,FALSE)</f>
        <v>Podríamos describirle como una persona ansiosa, vulnerable, emotiva, poco capaz de dominar sus emociones. Igualmente, se le considera una persona que suele ser muy impulsiva e irritable.</v>
      </c>
      <c r="B72" s="117"/>
      <c r="C72" s="117"/>
      <c r="D72" s="117"/>
      <c r="E72" s="117"/>
      <c r="F72" s="117"/>
      <c r="G72" s="117"/>
      <c r="H72" s="117"/>
      <c r="I72" s="118"/>
    </row>
    <row r="73" spans="1:9" x14ac:dyDescent="0.25">
      <c r="A73" s="119"/>
      <c r="B73" s="120"/>
      <c r="C73" s="120"/>
      <c r="D73" s="120"/>
      <c r="E73" s="120"/>
      <c r="F73" s="120"/>
      <c r="G73" s="120"/>
      <c r="H73" s="120"/>
      <c r="I73" s="121"/>
    </row>
    <row r="74" spans="1:9" ht="27" customHeight="1" x14ac:dyDescent="0.25">
      <c r="A74" s="122"/>
      <c r="B74" s="123"/>
      <c r="C74" s="123"/>
      <c r="D74" s="123"/>
      <c r="E74" s="123"/>
      <c r="F74" s="123"/>
      <c r="G74" s="123"/>
      <c r="H74" s="123"/>
      <c r="I74" s="124"/>
    </row>
    <row r="75" spans="1:9" x14ac:dyDescent="0.25">
      <c r="A75" s="179" t="s">
        <v>272</v>
      </c>
      <c r="B75" s="180"/>
      <c r="C75" s="180"/>
      <c r="D75" s="180"/>
      <c r="E75" s="180"/>
      <c r="F75" s="180"/>
      <c r="G75" s="180"/>
      <c r="H75" s="180"/>
      <c r="I75" s="181"/>
    </row>
    <row r="76" spans="1:9" x14ac:dyDescent="0.25">
      <c r="A76" s="182"/>
      <c r="B76" s="183"/>
      <c r="C76" s="183"/>
      <c r="D76" s="183"/>
      <c r="E76" s="183"/>
      <c r="F76" s="183"/>
      <c r="G76" s="183"/>
      <c r="H76" s="183"/>
      <c r="I76" s="184"/>
    </row>
    <row r="77" spans="1:9" x14ac:dyDescent="0.25">
      <c r="A77" s="114" t="s">
        <v>215</v>
      </c>
      <c r="B77" s="115"/>
      <c r="C77" s="171"/>
      <c r="D77" s="114" t="str">
        <f>VLOOKUP(E14,Interpretación!A1:C100,3,FALSE)&amp;"."</f>
        <v xml:space="preserve"> medio.</v>
      </c>
      <c r="E77" s="115"/>
      <c r="F77" s="171"/>
      <c r="G77" s="114"/>
      <c r="H77" s="115"/>
      <c r="I77" s="171"/>
    </row>
    <row r="78" spans="1:9" x14ac:dyDescent="0.25">
      <c r="A78" s="116" t="str">
        <f>VLOOKUP(E37,Interpretación!A:M,12,FALSE)&amp;". "&amp;VLOOKUP(E38,Interpretación!A:M,13,FALSE)</f>
        <v>Se trata de una persona poco abierta a la cultura y costumbres distintas. Además, se le considera una persona bastante abierta a lo nuevo, ya sean ideas como valores.</v>
      </c>
      <c r="B78" s="117"/>
      <c r="C78" s="117"/>
      <c r="D78" s="117"/>
      <c r="E78" s="117"/>
      <c r="F78" s="117"/>
      <c r="G78" s="117"/>
      <c r="H78" s="117"/>
      <c r="I78" s="118"/>
    </row>
    <row r="79" spans="1:9" x14ac:dyDescent="0.25">
      <c r="A79" s="119"/>
      <c r="B79" s="120"/>
      <c r="C79" s="120"/>
      <c r="D79" s="120"/>
      <c r="E79" s="120"/>
      <c r="F79" s="120"/>
      <c r="G79" s="120"/>
      <c r="H79" s="120"/>
      <c r="I79" s="121"/>
    </row>
    <row r="80" spans="1:9" x14ac:dyDescent="0.25">
      <c r="A80" s="122"/>
      <c r="B80" s="123"/>
      <c r="C80" s="123"/>
      <c r="D80" s="123"/>
      <c r="E80" s="123"/>
      <c r="F80" s="123"/>
      <c r="G80" s="123"/>
      <c r="H80" s="123"/>
      <c r="I80" s="124"/>
    </row>
    <row r="81" spans="1:9" x14ac:dyDescent="0.25">
      <c r="A81" s="114"/>
      <c r="B81" s="115"/>
      <c r="C81" s="171"/>
      <c r="D81" s="114"/>
      <c r="E81" s="115"/>
      <c r="F81" s="171"/>
      <c r="G81" s="114"/>
      <c r="H81" s="115"/>
      <c r="I81" s="171"/>
    </row>
    <row r="82" spans="1:9" ht="26.25" x14ac:dyDescent="0.4">
      <c r="A82" s="185" t="s">
        <v>294</v>
      </c>
      <c r="B82" s="186"/>
      <c r="C82" s="186"/>
      <c r="D82" s="186"/>
      <c r="E82" s="186"/>
      <c r="F82" s="187"/>
      <c r="G82" s="114"/>
      <c r="H82" s="115"/>
      <c r="I82" s="171"/>
    </row>
    <row r="83" spans="1:9" x14ac:dyDescent="0.25">
      <c r="A83" s="116" t="str">
        <f>VLOOKUP(E18,Interpretación!A:N,14,FALSE)</f>
        <v>El nivel de distorsión es adecuado, por lo que podemos confiar en los resultados del test.</v>
      </c>
      <c r="B83" s="117"/>
      <c r="C83" s="117"/>
      <c r="D83" s="117"/>
      <c r="E83" s="117"/>
      <c r="F83" s="117"/>
      <c r="G83" s="117"/>
      <c r="H83" s="117"/>
      <c r="I83" s="118"/>
    </row>
    <row r="84" spans="1:9" x14ac:dyDescent="0.25">
      <c r="A84" s="122"/>
      <c r="B84" s="123"/>
      <c r="C84" s="123"/>
      <c r="D84" s="123"/>
      <c r="E84" s="123"/>
      <c r="F84" s="123"/>
      <c r="G84" s="123"/>
      <c r="H84" s="123"/>
      <c r="I84" s="124"/>
    </row>
    <row r="85" spans="1:9" x14ac:dyDescent="0.25">
      <c r="A85" s="116"/>
      <c r="B85" s="117"/>
      <c r="C85" s="117"/>
      <c r="D85" s="117"/>
      <c r="E85" s="117"/>
      <c r="F85" s="117"/>
      <c r="G85" s="117"/>
      <c r="H85" s="117"/>
      <c r="I85" s="118"/>
    </row>
    <row r="86" spans="1:9" x14ac:dyDescent="0.25">
      <c r="A86" s="119"/>
      <c r="B86" s="120"/>
      <c r="C86" s="120"/>
      <c r="D86" s="120"/>
      <c r="E86" s="120"/>
      <c r="F86" s="120"/>
      <c r="G86" s="120"/>
      <c r="H86" s="120"/>
      <c r="I86" s="121"/>
    </row>
    <row r="87" spans="1:9" x14ac:dyDescent="0.25">
      <c r="A87" s="122"/>
      <c r="B87" s="123"/>
      <c r="C87" s="123"/>
      <c r="D87" s="123"/>
      <c r="E87" s="123"/>
      <c r="F87" s="123"/>
      <c r="G87" s="123"/>
      <c r="H87" s="123"/>
      <c r="I87" s="124"/>
    </row>
    <row r="88" spans="1:9" x14ac:dyDescent="0.25">
      <c r="A88" s="116"/>
      <c r="B88" s="117"/>
      <c r="C88" s="117"/>
      <c r="D88" s="117"/>
      <c r="E88" s="117"/>
      <c r="F88" s="117"/>
      <c r="G88" s="117"/>
      <c r="H88" s="117"/>
      <c r="I88" s="118"/>
    </row>
    <row r="89" spans="1:9" x14ac:dyDescent="0.25">
      <c r="A89" s="122"/>
      <c r="B89" s="123"/>
      <c r="C89" s="123"/>
      <c r="D89" s="123"/>
      <c r="E89" s="123"/>
      <c r="F89" s="123"/>
      <c r="G89" s="123"/>
      <c r="H89" s="123"/>
      <c r="I89" s="124"/>
    </row>
    <row r="90" spans="1:9" x14ac:dyDescent="0.25">
      <c r="A90" s="114"/>
      <c r="B90" s="115"/>
      <c r="C90" s="171"/>
      <c r="D90" s="114"/>
      <c r="E90" s="115"/>
      <c r="F90" s="171"/>
      <c r="G90" s="114"/>
      <c r="H90" s="115"/>
      <c r="I90" s="171"/>
    </row>
    <row r="91" spans="1:9" x14ac:dyDescent="0.25">
      <c r="A91" s="114"/>
      <c r="B91" s="115"/>
      <c r="C91" s="171"/>
      <c r="D91" s="114"/>
      <c r="E91" s="115"/>
      <c r="F91" s="171"/>
      <c r="G91" s="114"/>
      <c r="H91" s="115"/>
      <c r="I91" s="171"/>
    </row>
    <row r="92" spans="1:9" x14ac:dyDescent="0.25">
      <c r="A92" s="114"/>
      <c r="B92" s="115"/>
      <c r="C92" s="171"/>
      <c r="D92" s="114"/>
      <c r="E92" s="115"/>
      <c r="F92" s="171"/>
      <c r="G92" s="114"/>
      <c r="H92" s="115"/>
      <c r="I92" s="171"/>
    </row>
    <row r="93" spans="1:9" x14ac:dyDescent="0.25">
      <c r="A93" s="114"/>
      <c r="B93" s="115"/>
      <c r="C93" s="171"/>
      <c r="D93" s="114"/>
      <c r="E93" s="115"/>
      <c r="F93" s="171"/>
      <c r="G93" s="114"/>
      <c r="H93" s="115"/>
      <c r="I93" s="171"/>
    </row>
    <row r="94" spans="1:9" x14ac:dyDescent="0.25">
      <c r="A94" s="114"/>
      <c r="B94" s="115"/>
      <c r="C94" s="171"/>
      <c r="D94" s="114"/>
      <c r="E94" s="115"/>
      <c r="F94" s="171"/>
      <c r="G94" s="114"/>
      <c r="H94" s="115"/>
      <c r="I94" s="171"/>
    </row>
    <row r="95" spans="1:9" x14ac:dyDescent="0.25">
      <c r="A95" s="114"/>
      <c r="B95" s="115"/>
      <c r="C95" s="171"/>
      <c r="D95" s="114"/>
      <c r="E95" s="115"/>
      <c r="F95" s="171"/>
      <c r="G95" s="114"/>
      <c r="H95" s="115"/>
      <c r="I95" s="171"/>
    </row>
    <row r="96" spans="1:9" x14ac:dyDescent="0.25">
      <c r="A96" s="114"/>
      <c r="B96" s="115"/>
      <c r="C96" s="171"/>
      <c r="D96" s="114"/>
      <c r="E96" s="115"/>
      <c r="F96" s="171"/>
      <c r="G96" s="114"/>
      <c r="H96" s="115"/>
      <c r="I96" s="171"/>
    </row>
    <row r="97" spans="1:9" ht="26.25" x14ac:dyDescent="0.4">
      <c r="A97" s="133" t="s">
        <v>295</v>
      </c>
      <c r="B97" s="133"/>
      <c r="C97" s="133"/>
      <c r="D97" s="133"/>
      <c r="E97" s="133"/>
      <c r="F97" s="113"/>
      <c r="G97" s="113"/>
      <c r="H97" s="113"/>
      <c r="I97" s="88"/>
    </row>
    <row r="98" spans="1:9" x14ac:dyDescent="0.25">
      <c r="A98" s="116" t="s">
        <v>306</v>
      </c>
      <c r="B98" s="125"/>
      <c r="C98" s="125"/>
      <c r="D98" s="125"/>
      <c r="E98" s="125"/>
      <c r="F98" s="125"/>
      <c r="G98" s="125"/>
      <c r="H98" s="125"/>
      <c r="I98" s="126"/>
    </row>
    <row r="99" spans="1:9" x14ac:dyDescent="0.25">
      <c r="A99" s="127"/>
      <c r="B99" s="128"/>
      <c r="C99" s="128"/>
      <c r="D99" s="128"/>
      <c r="E99" s="128"/>
      <c r="F99" s="128"/>
      <c r="G99" s="128"/>
      <c r="H99" s="128"/>
      <c r="I99" s="129"/>
    </row>
    <row r="100" spans="1:9" x14ac:dyDescent="0.25">
      <c r="A100" s="127"/>
      <c r="B100" s="128"/>
      <c r="C100" s="128"/>
      <c r="D100" s="128"/>
      <c r="E100" s="128"/>
      <c r="F100" s="128"/>
      <c r="G100" s="128"/>
      <c r="H100" s="128"/>
      <c r="I100" s="129"/>
    </row>
    <row r="101" spans="1:9" x14ac:dyDescent="0.25">
      <c r="A101" s="127"/>
      <c r="B101" s="128"/>
      <c r="C101" s="128"/>
      <c r="D101" s="128"/>
      <c r="E101" s="128"/>
      <c r="F101" s="128"/>
      <c r="G101" s="128"/>
      <c r="H101" s="128"/>
      <c r="I101" s="129"/>
    </row>
    <row r="102" spans="1:9" x14ac:dyDescent="0.25">
      <c r="A102" s="127"/>
      <c r="B102" s="128"/>
      <c r="C102" s="128"/>
      <c r="D102" s="128"/>
      <c r="E102" s="128"/>
      <c r="F102" s="128"/>
      <c r="G102" s="128"/>
      <c r="H102" s="128"/>
      <c r="I102" s="129"/>
    </row>
    <row r="103" spans="1:9" x14ac:dyDescent="0.25">
      <c r="A103" s="127"/>
      <c r="B103" s="128"/>
      <c r="C103" s="128"/>
      <c r="D103" s="128"/>
      <c r="E103" s="128"/>
      <c r="F103" s="128"/>
      <c r="G103" s="128"/>
      <c r="H103" s="128"/>
      <c r="I103" s="129"/>
    </row>
    <row r="104" spans="1:9" x14ac:dyDescent="0.25">
      <c r="A104" s="127"/>
      <c r="B104" s="128"/>
      <c r="C104" s="128"/>
      <c r="D104" s="128"/>
      <c r="E104" s="128"/>
      <c r="F104" s="128"/>
      <c r="G104" s="128"/>
      <c r="H104" s="128"/>
      <c r="I104" s="129"/>
    </row>
    <row r="105" spans="1:9" x14ac:dyDescent="0.25">
      <c r="A105" s="127"/>
      <c r="B105" s="128"/>
      <c r="C105" s="128"/>
      <c r="D105" s="128"/>
      <c r="E105" s="128"/>
      <c r="F105" s="128"/>
      <c r="G105" s="128"/>
      <c r="H105" s="128"/>
      <c r="I105" s="129"/>
    </row>
    <row r="106" spans="1:9" x14ac:dyDescent="0.25">
      <c r="A106" s="127"/>
      <c r="B106" s="128"/>
      <c r="C106" s="128"/>
      <c r="D106" s="128"/>
      <c r="E106" s="128"/>
      <c r="F106" s="128"/>
      <c r="G106" s="128"/>
      <c r="H106" s="128"/>
      <c r="I106" s="129"/>
    </row>
    <row r="107" spans="1:9" x14ac:dyDescent="0.25">
      <c r="A107" s="127"/>
      <c r="B107" s="128"/>
      <c r="C107" s="128"/>
      <c r="D107" s="128"/>
      <c r="E107" s="128"/>
      <c r="F107" s="128"/>
      <c r="G107" s="128"/>
      <c r="H107" s="128"/>
      <c r="I107" s="129"/>
    </row>
    <row r="108" spans="1:9" x14ac:dyDescent="0.25">
      <c r="A108" s="127"/>
      <c r="B108" s="128"/>
      <c r="C108" s="128"/>
      <c r="D108" s="128"/>
      <c r="E108" s="128"/>
      <c r="F108" s="128"/>
      <c r="G108" s="128"/>
      <c r="H108" s="128"/>
      <c r="I108" s="129"/>
    </row>
    <row r="109" spans="1:9" x14ac:dyDescent="0.25">
      <c r="A109" s="127"/>
      <c r="B109" s="128"/>
      <c r="C109" s="128"/>
      <c r="D109" s="128"/>
      <c r="E109" s="128"/>
      <c r="F109" s="128"/>
      <c r="G109" s="128"/>
      <c r="H109" s="128"/>
      <c r="I109" s="129"/>
    </row>
    <row r="110" spans="1:9" x14ac:dyDescent="0.25">
      <c r="A110" s="127"/>
      <c r="B110" s="128"/>
      <c r="C110" s="128"/>
      <c r="D110" s="128"/>
      <c r="E110" s="128"/>
      <c r="F110" s="128"/>
      <c r="G110" s="128"/>
      <c r="H110" s="128"/>
      <c r="I110" s="129"/>
    </row>
    <row r="111" spans="1:9" x14ac:dyDescent="0.25">
      <c r="A111" s="130"/>
      <c r="B111" s="131"/>
      <c r="C111" s="131"/>
      <c r="D111" s="131"/>
      <c r="E111" s="131"/>
      <c r="F111" s="131"/>
      <c r="G111" s="131"/>
      <c r="H111" s="131"/>
      <c r="I111" s="132"/>
    </row>
    <row r="112" spans="1:9" ht="26.25" x14ac:dyDescent="0.4">
      <c r="A112" s="112" t="s">
        <v>296</v>
      </c>
      <c r="B112" s="112"/>
      <c r="C112" s="112"/>
      <c r="D112" s="112"/>
      <c r="E112" s="112"/>
      <c r="F112" s="112"/>
      <c r="G112" s="112"/>
      <c r="H112" s="113"/>
      <c r="I112" s="113"/>
    </row>
    <row r="113" spans="1:9" x14ac:dyDescent="0.25">
      <c r="A113" s="116" t="s">
        <v>307</v>
      </c>
      <c r="B113" s="125"/>
      <c r="C113" s="125"/>
      <c r="D113" s="125"/>
      <c r="E113" s="125"/>
      <c r="F113" s="125"/>
      <c r="G113" s="125"/>
      <c r="H113" s="125"/>
      <c r="I113" s="126"/>
    </row>
    <row r="114" spans="1:9" x14ac:dyDescent="0.25">
      <c r="A114" s="127"/>
      <c r="B114" s="128"/>
      <c r="C114" s="128"/>
      <c r="D114" s="128"/>
      <c r="E114" s="128"/>
      <c r="F114" s="128"/>
      <c r="G114" s="128"/>
      <c r="H114" s="128"/>
      <c r="I114" s="129"/>
    </row>
    <row r="115" spans="1:9" x14ac:dyDescent="0.25">
      <c r="A115" s="127"/>
      <c r="B115" s="128"/>
      <c r="C115" s="128"/>
      <c r="D115" s="128"/>
      <c r="E115" s="128"/>
      <c r="F115" s="128"/>
      <c r="G115" s="128"/>
      <c r="H115" s="128"/>
      <c r="I115" s="129"/>
    </row>
    <row r="116" spans="1:9" x14ac:dyDescent="0.25">
      <c r="A116" s="127"/>
      <c r="B116" s="128"/>
      <c r="C116" s="128"/>
      <c r="D116" s="128"/>
      <c r="E116" s="128"/>
      <c r="F116" s="128"/>
      <c r="G116" s="128"/>
      <c r="H116" s="128"/>
      <c r="I116" s="129"/>
    </row>
    <row r="117" spans="1:9" x14ac:dyDescent="0.25">
      <c r="A117" s="127"/>
      <c r="B117" s="128"/>
      <c r="C117" s="128"/>
      <c r="D117" s="128"/>
      <c r="E117" s="128"/>
      <c r="F117" s="128"/>
      <c r="G117" s="128"/>
      <c r="H117" s="128"/>
      <c r="I117" s="129"/>
    </row>
    <row r="118" spans="1:9" x14ac:dyDescent="0.25">
      <c r="A118" s="127"/>
      <c r="B118" s="128"/>
      <c r="C118" s="128"/>
      <c r="D118" s="128"/>
      <c r="E118" s="128"/>
      <c r="F118" s="128"/>
      <c r="G118" s="128"/>
      <c r="H118" s="128"/>
      <c r="I118" s="129"/>
    </row>
    <row r="119" spans="1:9" x14ac:dyDescent="0.25">
      <c r="A119" s="127"/>
      <c r="B119" s="128"/>
      <c r="C119" s="128"/>
      <c r="D119" s="128"/>
      <c r="E119" s="128"/>
      <c r="F119" s="128"/>
      <c r="G119" s="128"/>
      <c r="H119" s="128"/>
      <c r="I119" s="129"/>
    </row>
    <row r="120" spans="1:9" x14ac:dyDescent="0.25">
      <c r="A120" s="130"/>
      <c r="B120" s="131"/>
      <c r="C120" s="131"/>
      <c r="D120" s="131"/>
      <c r="E120" s="131"/>
      <c r="F120" s="131"/>
      <c r="G120" s="131"/>
      <c r="H120" s="131"/>
      <c r="I120" s="132"/>
    </row>
    <row r="121" spans="1:9" x14ac:dyDescent="0.25">
      <c r="A121" s="113"/>
      <c r="B121" s="113"/>
      <c r="C121" s="113"/>
      <c r="D121" s="113"/>
      <c r="E121" s="113"/>
      <c r="F121" s="113"/>
      <c r="G121" s="88"/>
      <c r="H121" s="113"/>
      <c r="I121" s="113"/>
    </row>
    <row r="122" spans="1:9" x14ac:dyDescent="0.25">
      <c r="A122" s="113"/>
      <c r="B122" s="113"/>
      <c r="C122" s="113"/>
      <c r="D122" s="113"/>
      <c r="E122" s="113"/>
      <c r="F122" s="113"/>
      <c r="G122" s="88"/>
      <c r="H122" s="113"/>
      <c r="I122" s="113"/>
    </row>
    <row r="123" spans="1:9" x14ac:dyDescent="0.25">
      <c r="A123" s="113"/>
      <c r="B123" s="113"/>
      <c r="C123" s="113"/>
      <c r="D123" s="113"/>
      <c r="E123" s="113"/>
      <c r="F123" s="113"/>
      <c r="G123" s="88"/>
      <c r="H123" s="113"/>
      <c r="I123" s="113"/>
    </row>
    <row r="124" spans="1:9" x14ac:dyDescent="0.25">
      <c r="A124" s="113"/>
      <c r="B124" s="113"/>
      <c r="C124" s="113"/>
      <c r="D124" s="113"/>
      <c r="E124" s="113"/>
      <c r="F124" s="113"/>
      <c r="G124" s="88"/>
      <c r="H124" s="113"/>
      <c r="I124" s="113"/>
    </row>
    <row r="125" spans="1:9" x14ac:dyDescent="0.25">
      <c r="A125" s="113"/>
      <c r="B125" s="113"/>
      <c r="C125" s="113"/>
      <c r="D125" s="113"/>
      <c r="E125" s="113"/>
      <c r="F125" s="113"/>
      <c r="G125" s="88"/>
      <c r="H125" s="113"/>
      <c r="I125" s="113"/>
    </row>
    <row r="126" spans="1:9" x14ac:dyDescent="0.25">
      <c r="A126" s="113"/>
      <c r="B126" s="113"/>
      <c r="C126" s="113"/>
      <c r="D126" s="113"/>
      <c r="E126" s="113"/>
      <c r="F126" s="113"/>
      <c r="G126" s="88"/>
      <c r="H126" s="113"/>
      <c r="I126" s="113"/>
    </row>
    <row r="127" spans="1:9" x14ac:dyDescent="0.25">
      <c r="A127" s="113"/>
      <c r="B127" s="113"/>
      <c r="C127" s="113"/>
      <c r="D127" s="113"/>
      <c r="E127" s="113"/>
      <c r="F127" s="113"/>
      <c r="G127" s="88"/>
      <c r="H127" s="113"/>
      <c r="I127" s="113"/>
    </row>
    <row r="128" spans="1:9" x14ac:dyDescent="0.25">
      <c r="A128" s="113"/>
      <c r="B128" s="113"/>
      <c r="C128" s="113"/>
      <c r="D128" s="113"/>
      <c r="E128" s="113"/>
      <c r="F128" s="113"/>
      <c r="G128" s="88"/>
      <c r="H128" s="113"/>
      <c r="I128" s="113"/>
    </row>
    <row r="129" spans="1:9" x14ac:dyDescent="0.25">
      <c r="A129" s="113"/>
      <c r="B129" s="113"/>
      <c r="C129" s="113"/>
      <c r="D129" s="113"/>
      <c r="E129" s="113"/>
      <c r="F129" s="113"/>
      <c r="G129" s="88"/>
      <c r="H129" s="113"/>
      <c r="I129" s="113"/>
    </row>
    <row r="130" spans="1:9" x14ac:dyDescent="0.25">
      <c r="A130" s="113"/>
      <c r="B130" s="113"/>
      <c r="C130" s="113"/>
      <c r="D130" s="113"/>
      <c r="E130" s="113"/>
      <c r="F130" s="113"/>
      <c r="G130" s="88"/>
      <c r="H130" s="113"/>
      <c r="I130" s="113"/>
    </row>
    <row r="131" spans="1:9" x14ac:dyDescent="0.25">
      <c r="A131" s="113"/>
      <c r="B131" s="113"/>
      <c r="C131" s="113"/>
      <c r="D131" s="113"/>
      <c r="E131" s="113"/>
      <c r="F131" s="113"/>
      <c r="G131" s="88"/>
      <c r="H131" s="113"/>
      <c r="I131" s="113"/>
    </row>
    <row r="132" spans="1:9" x14ac:dyDescent="0.25">
      <c r="A132" s="113"/>
      <c r="B132" s="113"/>
      <c r="C132" s="113"/>
      <c r="D132" s="113"/>
      <c r="E132" s="113"/>
      <c r="F132" s="113"/>
      <c r="G132" s="88"/>
      <c r="H132" s="113"/>
      <c r="I132" s="113"/>
    </row>
    <row r="133" spans="1:9" x14ac:dyDescent="0.25">
      <c r="A133" s="113"/>
      <c r="B133" s="113"/>
      <c r="C133" s="113"/>
      <c r="D133" s="113"/>
      <c r="E133" s="113"/>
      <c r="F133" s="113"/>
      <c r="G133" s="88"/>
      <c r="H133" s="113"/>
      <c r="I133" s="113"/>
    </row>
    <row r="134" spans="1:9" x14ac:dyDescent="0.25">
      <c r="A134" s="113"/>
      <c r="B134" s="113"/>
      <c r="C134" s="113"/>
      <c r="D134" s="113"/>
      <c r="E134" s="113"/>
      <c r="F134" s="113"/>
      <c r="G134" s="88"/>
      <c r="H134" s="113"/>
      <c r="I134" s="113"/>
    </row>
    <row r="135" spans="1:9" x14ac:dyDescent="0.25">
      <c r="A135" s="113"/>
      <c r="B135" s="113"/>
      <c r="C135" s="113"/>
      <c r="D135" s="113"/>
      <c r="E135" s="113"/>
      <c r="F135" s="113"/>
      <c r="G135" s="88"/>
      <c r="H135" s="113"/>
      <c r="I135" s="113"/>
    </row>
    <row r="136" spans="1:9" x14ac:dyDescent="0.25">
      <c r="A136" s="113"/>
      <c r="B136" s="113"/>
      <c r="C136" s="113"/>
      <c r="D136" s="113"/>
      <c r="E136" s="113"/>
      <c r="F136" s="113"/>
      <c r="G136" s="88"/>
      <c r="H136" s="113"/>
      <c r="I136" s="113"/>
    </row>
    <row r="137" spans="1:9" x14ac:dyDescent="0.25">
      <c r="A137" s="113"/>
      <c r="B137" s="113"/>
      <c r="C137" s="113"/>
      <c r="D137" s="113"/>
      <c r="E137" s="113"/>
      <c r="F137" s="113"/>
      <c r="G137" s="88"/>
      <c r="H137" s="113"/>
      <c r="I137" s="113"/>
    </row>
    <row r="138" spans="1:9" x14ac:dyDescent="0.25">
      <c r="A138" s="113"/>
      <c r="B138" s="113"/>
      <c r="C138" s="113"/>
      <c r="D138" s="113"/>
      <c r="E138" s="113"/>
      <c r="F138" s="113"/>
      <c r="G138" s="88"/>
      <c r="H138" s="113"/>
      <c r="I138" s="113"/>
    </row>
    <row r="139" spans="1:9" x14ac:dyDescent="0.25">
      <c r="A139" s="113"/>
      <c r="B139" s="113"/>
      <c r="C139" s="113"/>
      <c r="D139" s="113"/>
      <c r="E139" s="113"/>
      <c r="F139" s="113"/>
      <c r="G139" s="88"/>
      <c r="H139" s="113"/>
      <c r="I139" s="113"/>
    </row>
    <row r="140" spans="1:9" x14ac:dyDescent="0.25">
      <c r="A140" s="113"/>
      <c r="B140" s="113"/>
      <c r="C140" s="113"/>
      <c r="D140" s="113"/>
      <c r="E140" s="113"/>
      <c r="F140" s="113"/>
      <c r="G140" s="88"/>
      <c r="H140" s="113"/>
      <c r="I140" s="113"/>
    </row>
    <row r="141" spans="1:9" x14ac:dyDescent="0.25">
      <c r="A141" s="113"/>
      <c r="B141" s="113"/>
      <c r="C141" s="113"/>
      <c r="D141" s="113"/>
      <c r="E141" s="113"/>
      <c r="F141" s="113"/>
      <c r="G141" s="88"/>
      <c r="H141" s="113"/>
      <c r="I141" s="113"/>
    </row>
    <row r="142" spans="1:9" x14ac:dyDescent="0.25">
      <c r="A142" s="113"/>
      <c r="B142" s="113"/>
      <c r="C142" s="113"/>
      <c r="D142" s="113"/>
      <c r="E142" s="113"/>
      <c r="F142" s="113"/>
      <c r="G142" s="88"/>
      <c r="H142" s="113"/>
      <c r="I142" s="113"/>
    </row>
    <row r="143" spans="1:9" x14ac:dyDescent="0.25">
      <c r="A143" s="113"/>
      <c r="B143" s="113"/>
      <c r="C143" s="113"/>
      <c r="D143" s="113"/>
      <c r="E143" s="113"/>
      <c r="F143" s="113"/>
      <c r="G143" s="88"/>
      <c r="H143" s="113"/>
      <c r="I143" s="113"/>
    </row>
    <row r="144" spans="1:9" x14ac:dyDescent="0.25">
      <c r="A144" s="138"/>
      <c r="B144" s="139"/>
      <c r="C144" s="140"/>
      <c r="D144" s="138"/>
      <c r="E144" s="139"/>
      <c r="F144" s="140"/>
      <c r="G144" s="138"/>
      <c r="H144" s="139"/>
      <c r="I144" s="140"/>
    </row>
    <row r="145" spans="1:9" x14ac:dyDescent="0.25">
      <c r="A145" s="138"/>
      <c r="B145" s="139"/>
      <c r="C145" s="140"/>
      <c r="D145" s="138"/>
      <c r="E145" s="139"/>
      <c r="F145" s="140"/>
      <c r="G145" s="138"/>
      <c r="H145" s="139"/>
      <c r="I145" s="140"/>
    </row>
    <row r="146" spans="1:9" x14ac:dyDescent="0.25">
      <c r="A146" s="138"/>
      <c r="B146" s="139"/>
      <c r="C146" s="140"/>
      <c r="D146" s="138"/>
      <c r="E146" s="139"/>
      <c r="F146" s="140"/>
      <c r="G146" s="138"/>
      <c r="H146" s="139"/>
      <c r="I146" s="140"/>
    </row>
    <row r="147" spans="1:9" x14ac:dyDescent="0.25">
      <c r="A147" s="138"/>
      <c r="B147" s="139"/>
      <c r="C147" s="140"/>
      <c r="D147" s="138"/>
      <c r="E147" s="139"/>
      <c r="F147" s="140"/>
      <c r="G147" s="138"/>
      <c r="H147" s="139"/>
      <c r="I147" s="140"/>
    </row>
    <row r="148" spans="1:9" x14ac:dyDescent="0.25">
      <c r="A148" s="138"/>
      <c r="B148" s="139"/>
      <c r="C148" s="140"/>
      <c r="D148" s="138"/>
      <c r="E148" s="139"/>
      <c r="F148" s="140"/>
      <c r="G148" s="138"/>
      <c r="H148" s="139"/>
      <c r="I148" s="140"/>
    </row>
    <row r="149" spans="1:9" x14ac:dyDescent="0.25">
      <c r="A149" s="138"/>
      <c r="B149" s="139"/>
      <c r="C149" s="140"/>
      <c r="D149" s="138"/>
      <c r="E149" s="139"/>
      <c r="F149" s="140"/>
      <c r="G149" s="138"/>
      <c r="H149" s="139"/>
      <c r="I149" s="140"/>
    </row>
    <row r="150" spans="1:9" x14ac:dyDescent="0.25">
      <c r="A150" s="138"/>
      <c r="B150" s="139"/>
      <c r="C150" s="140"/>
      <c r="D150" s="138"/>
      <c r="E150" s="139"/>
      <c r="F150" s="140"/>
      <c r="G150" s="138"/>
      <c r="H150" s="139"/>
      <c r="I150" s="140"/>
    </row>
    <row r="151" spans="1:9" x14ac:dyDescent="0.25">
      <c r="A151" s="138"/>
      <c r="B151" s="139"/>
      <c r="C151" s="140"/>
      <c r="D151" s="138"/>
      <c r="E151" s="139"/>
      <c r="F151" s="140"/>
      <c r="G151" s="138"/>
      <c r="H151" s="139"/>
      <c r="I151" s="140"/>
    </row>
    <row r="152" spans="1:9" x14ac:dyDescent="0.25">
      <c r="A152" s="138"/>
      <c r="B152" s="139"/>
      <c r="C152" s="140"/>
      <c r="D152" s="138"/>
      <c r="E152" s="139"/>
      <c r="F152" s="140"/>
      <c r="G152" s="138"/>
      <c r="H152" s="139"/>
      <c r="I152" s="140"/>
    </row>
    <row r="153" spans="1:9" x14ac:dyDescent="0.25">
      <c r="A153" s="138"/>
      <c r="B153" s="139"/>
      <c r="C153" s="140"/>
      <c r="D153" s="138"/>
      <c r="E153" s="139"/>
      <c r="F153" s="140"/>
      <c r="G153" s="138"/>
      <c r="H153" s="139"/>
      <c r="I153" s="140"/>
    </row>
    <row r="154" spans="1:9" x14ac:dyDescent="0.25">
      <c r="A154" s="138"/>
      <c r="B154" s="139"/>
      <c r="C154" s="140"/>
      <c r="D154" s="138"/>
      <c r="E154" s="139"/>
      <c r="F154" s="140"/>
      <c r="G154" s="138"/>
      <c r="H154" s="139"/>
      <c r="I154" s="140"/>
    </row>
    <row r="155" spans="1:9" x14ac:dyDescent="0.25">
      <c r="A155" s="138"/>
      <c r="B155" s="139"/>
      <c r="C155" s="140"/>
      <c r="D155" s="138"/>
      <c r="E155" s="139"/>
      <c r="F155" s="140"/>
      <c r="G155" s="138"/>
      <c r="H155" s="139"/>
      <c r="I155" s="140"/>
    </row>
    <row r="156" spans="1:9" x14ac:dyDescent="0.25">
      <c r="A156" s="138"/>
      <c r="B156" s="139"/>
      <c r="C156" s="140"/>
      <c r="D156" s="138"/>
      <c r="E156" s="139"/>
      <c r="F156" s="140"/>
      <c r="G156" s="138"/>
      <c r="H156" s="139"/>
      <c r="I156" s="140"/>
    </row>
    <row r="157" spans="1:9" x14ac:dyDescent="0.25">
      <c r="A157" s="138"/>
      <c r="B157" s="139"/>
      <c r="C157" s="140"/>
      <c r="D157" s="138"/>
      <c r="E157" s="139"/>
      <c r="F157" s="140"/>
      <c r="G157" s="138"/>
      <c r="H157" s="139"/>
      <c r="I157" s="140"/>
    </row>
    <row r="158" spans="1:9" x14ac:dyDescent="0.25">
      <c r="A158" s="138"/>
      <c r="B158" s="139"/>
      <c r="C158" s="140"/>
      <c r="D158" s="138"/>
      <c r="E158" s="139"/>
      <c r="F158" s="140"/>
      <c r="G158" s="138"/>
      <c r="H158" s="139"/>
      <c r="I158" s="140"/>
    </row>
    <row r="159" spans="1:9" x14ac:dyDescent="0.25">
      <c r="A159" s="138"/>
      <c r="B159" s="139"/>
      <c r="C159" s="140"/>
      <c r="D159" s="138"/>
      <c r="E159" s="139"/>
      <c r="F159" s="140"/>
      <c r="G159" s="138"/>
      <c r="H159" s="139"/>
      <c r="I159" s="140"/>
    </row>
    <row r="160" spans="1:9" x14ac:dyDescent="0.25">
      <c r="A160" s="138"/>
      <c r="B160" s="139"/>
      <c r="C160" s="140"/>
      <c r="D160" s="138"/>
      <c r="E160" s="139"/>
      <c r="F160" s="140"/>
      <c r="G160" s="138"/>
      <c r="H160" s="139"/>
      <c r="I160" s="140"/>
    </row>
    <row r="161" spans="1:9" x14ac:dyDescent="0.25">
      <c r="A161" s="138"/>
      <c r="B161" s="139"/>
      <c r="C161" s="140"/>
      <c r="D161" s="138"/>
      <c r="E161" s="139"/>
      <c r="F161" s="140"/>
      <c r="G161" s="138"/>
      <c r="H161" s="139"/>
      <c r="I161" s="140"/>
    </row>
    <row r="162" spans="1:9" x14ac:dyDescent="0.25">
      <c r="A162" s="138"/>
      <c r="B162" s="139"/>
      <c r="C162" s="140"/>
      <c r="D162" s="138"/>
      <c r="E162" s="139"/>
      <c r="F162" s="140"/>
      <c r="G162" s="138"/>
      <c r="H162" s="139"/>
      <c r="I162" s="140"/>
    </row>
    <row r="163" spans="1:9" x14ac:dyDescent="0.25">
      <c r="A163" s="138"/>
      <c r="B163" s="139"/>
      <c r="C163" s="140"/>
      <c r="D163" s="138"/>
      <c r="E163" s="139"/>
      <c r="F163" s="140"/>
      <c r="G163" s="138"/>
      <c r="H163" s="139"/>
      <c r="I163" s="140"/>
    </row>
    <row r="164" spans="1:9" x14ac:dyDescent="0.25">
      <c r="A164" s="138"/>
      <c r="B164" s="139"/>
      <c r="C164" s="140"/>
      <c r="D164" s="138"/>
      <c r="E164" s="139"/>
      <c r="F164" s="140"/>
      <c r="G164" s="138"/>
      <c r="H164" s="139"/>
      <c r="I164" s="140"/>
    </row>
    <row r="165" spans="1:9" x14ac:dyDescent="0.25">
      <c r="A165" s="138"/>
      <c r="B165" s="139"/>
      <c r="C165" s="140"/>
      <c r="D165" s="138"/>
      <c r="E165" s="139"/>
      <c r="F165" s="140"/>
      <c r="G165" s="138"/>
      <c r="H165" s="139"/>
      <c r="I165" s="140"/>
    </row>
    <row r="166" spans="1:9" x14ac:dyDescent="0.25">
      <c r="A166" s="138"/>
      <c r="B166" s="139"/>
      <c r="C166" s="140"/>
      <c r="D166" s="138"/>
      <c r="E166" s="139"/>
      <c r="F166" s="140"/>
      <c r="G166" s="138"/>
      <c r="H166" s="139"/>
      <c r="I166" s="140"/>
    </row>
    <row r="167" spans="1:9" x14ac:dyDescent="0.25">
      <c r="A167" s="138"/>
      <c r="B167" s="139"/>
      <c r="C167" s="140"/>
      <c r="D167" s="138"/>
      <c r="E167" s="139"/>
      <c r="F167" s="140"/>
      <c r="G167" s="138"/>
      <c r="H167" s="139"/>
      <c r="I167" s="140"/>
    </row>
    <row r="168" spans="1:9" x14ac:dyDescent="0.25">
      <c r="A168" s="138"/>
      <c r="B168" s="139"/>
      <c r="C168" s="140"/>
      <c r="D168" s="138"/>
      <c r="E168" s="139"/>
      <c r="F168" s="140"/>
      <c r="G168" s="138"/>
      <c r="H168" s="139"/>
      <c r="I168" s="140"/>
    </row>
    <row r="169" spans="1:9" x14ac:dyDescent="0.25">
      <c r="A169" s="138"/>
      <c r="B169" s="139"/>
      <c r="C169" s="140"/>
      <c r="D169" s="138"/>
      <c r="E169" s="139"/>
      <c r="F169" s="140"/>
      <c r="G169" s="138"/>
      <c r="H169" s="139"/>
      <c r="I169" s="140"/>
    </row>
    <row r="170" spans="1:9" x14ac:dyDescent="0.25">
      <c r="A170" s="138"/>
      <c r="B170" s="139"/>
      <c r="C170" s="140"/>
      <c r="D170" s="138"/>
      <c r="E170" s="139"/>
      <c r="F170" s="140"/>
      <c r="G170" s="138"/>
      <c r="H170" s="139"/>
      <c r="I170" s="140"/>
    </row>
    <row r="171" spans="1:9" x14ac:dyDescent="0.25">
      <c r="A171" s="138"/>
      <c r="B171" s="139"/>
      <c r="C171" s="140"/>
      <c r="D171" s="138"/>
      <c r="E171" s="139"/>
      <c r="F171" s="140"/>
      <c r="G171" s="138"/>
      <c r="H171" s="139"/>
      <c r="I171" s="140"/>
    </row>
    <row r="172" spans="1:9" x14ac:dyDescent="0.25">
      <c r="A172" s="138"/>
      <c r="B172" s="139"/>
      <c r="C172" s="140"/>
      <c r="D172" s="138"/>
      <c r="E172" s="139"/>
      <c r="F172" s="140"/>
      <c r="G172" s="138"/>
      <c r="H172" s="139"/>
      <c r="I172" s="140"/>
    </row>
    <row r="173" spans="1:9" x14ac:dyDescent="0.25">
      <c r="A173" s="138"/>
      <c r="B173" s="139"/>
      <c r="C173" s="140"/>
      <c r="D173" s="138"/>
      <c r="E173" s="139"/>
      <c r="F173" s="140"/>
      <c r="G173" s="138"/>
      <c r="H173" s="139"/>
      <c r="I173" s="140"/>
    </row>
    <row r="174" spans="1:9" x14ac:dyDescent="0.25">
      <c r="A174" s="138"/>
      <c r="B174" s="139"/>
      <c r="C174" s="140"/>
      <c r="D174" s="138"/>
      <c r="E174" s="139"/>
      <c r="F174" s="140"/>
      <c r="G174" s="138"/>
      <c r="H174" s="139"/>
      <c r="I174" s="140"/>
    </row>
    <row r="175" spans="1:9" x14ac:dyDescent="0.25">
      <c r="A175" s="138"/>
      <c r="B175" s="139"/>
      <c r="C175" s="140"/>
      <c r="D175" s="138"/>
      <c r="E175" s="139"/>
      <c r="F175" s="140"/>
      <c r="G175" s="138"/>
      <c r="H175" s="139"/>
      <c r="I175" s="140"/>
    </row>
    <row r="176" spans="1:9" x14ac:dyDescent="0.25">
      <c r="A176" s="138"/>
      <c r="B176" s="139"/>
      <c r="C176" s="140"/>
      <c r="D176" s="138"/>
      <c r="E176" s="139"/>
      <c r="F176" s="140"/>
      <c r="G176" s="138"/>
      <c r="H176" s="139"/>
      <c r="I176" s="140"/>
    </row>
    <row r="177" spans="1:9" x14ac:dyDescent="0.25">
      <c r="A177" s="138"/>
      <c r="B177" s="139"/>
      <c r="C177" s="140"/>
      <c r="D177" s="138"/>
      <c r="E177" s="139"/>
      <c r="F177" s="140"/>
      <c r="G177" s="138"/>
      <c r="H177" s="139"/>
      <c r="I177" s="140"/>
    </row>
    <row r="178" spans="1:9" x14ac:dyDescent="0.25">
      <c r="A178" s="138"/>
      <c r="B178" s="139"/>
      <c r="C178" s="140"/>
      <c r="D178" s="138"/>
      <c r="E178" s="139"/>
      <c r="F178" s="140"/>
      <c r="G178" s="138"/>
      <c r="H178" s="139"/>
      <c r="I178" s="140"/>
    </row>
    <row r="179" spans="1:9" x14ac:dyDescent="0.25">
      <c r="A179" s="138"/>
      <c r="B179" s="139"/>
      <c r="C179" s="140"/>
      <c r="D179" s="138"/>
      <c r="E179" s="139"/>
      <c r="F179" s="140"/>
      <c r="G179" s="138"/>
      <c r="H179" s="139"/>
      <c r="I179" s="140"/>
    </row>
    <row r="180" spans="1:9" x14ac:dyDescent="0.25">
      <c r="A180" s="138"/>
      <c r="B180" s="139"/>
      <c r="C180" s="140"/>
      <c r="D180" s="138"/>
      <c r="E180" s="139"/>
      <c r="F180" s="140"/>
      <c r="G180" s="138"/>
      <c r="H180" s="139"/>
      <c r="I180" s="140"/>
    </row>
    <row r="181" spans="1:9" x14ac:dyDescent="0.25">
      <c r="A181" s="138"/>
      <c r="B181" s="139"/>
      <c r="C181" s="140"/>
      <c r="D181" s="138"/>
      <c r="E181" s="139"/>
      <c r="F181" s="140"/>
      <c r="G181" s="138"/>
      <c r="H181" s="139"/>
      <c r="I181" s="140"/>
    </row>
    <row r="182" spans="1:9" x14ac:dyDescent="0.25">
      <c r="A182" s="138"/>
      <c r="B182" s="139"/>
      <c r="C182" s="140"/>
      <c r="D182" s="138"/>
      <c r="E182" s="139"/>
      <c r="F182" s="140"/>
      <c r="G182" s="138"/>
      <c r="H182" s="139"/>
      <c r="I182" s="140"/>
    </row>
    <row r="183" spans="1:9" x14ac:dyDescent="0.25">
      <c r="A183" s="138"/>
      <c r="B183" s="139"/>
      <c r="C183" s="140"/>
      <c r="D183" s="138"/>
      <c r="E183" s="139"/>
      <c r="F183" s="140"/>
      <c r="G183" s="138"/>
      <c r="H183" s="139"/>
      <c r="I183" s="140"/>
    </row>
    <row r="184" spans="1:9" x14ac:dyDescent="0.25">
      <c r="A184" s="138"/>
      <c r="B184" s="139"/>
      <c r="C184" s="140"/>
      <c r="D184" s="138"/>
      <c r="E184" s="139"/>
      <c r="F184" s="140"/>
      <c r="G184" s="138"/>
      <c r="H184" s="139"/>
      <c r="I184" s="140"/>
    </row>
    <row r="185" spans="1:9" x14ac:dyDescent="0.25">
      <c r="A185" s="138"/>
      <c r="B185" s="139"/>
      <c r="C185" s="140"/>
      <c r="D185" s="138"/>
      <c r="E185" s="139"/>
      <c r="F185" s="140"/>
      <c r="G185" s="138"/>
      <c r="H185" s="139"/>
      <c r="I185" s="140"/>
    </row>
    <row r="186" spans="1:9" x14ac:dyDescent="0.25">
      <c r="A186" s="138"/>
      <c r="B186" s="139"/>
      <c r="C186" s="140"/>
      <c r="D186" s="138"/>
      <c r="E186" s="139"/>
      <c r="F186" s="140"/>
      <c r="G186" s="138"/>
      <c r="H186" s="139"/>
      <c r="I186" s="140"/>
    </row>
    <row r="187" spans="1:9" x14ac:dyDescent="0.25">
      <c r="A187" s="138"/>
      <c r="B187" s="139"/>
      <c r="C187" s="140"/>
      <c r="D187" s="138"/>
      <c r="E187" s="139"/>
      <c r="F187" s="140"/>
      <c r="G187" s="138"/>
      <c r="H187" s="139"/>
      <c r="I187" s="140"/>
    </row>
    <row r="188" spans="1:9" x14ac:dyDescent="0.25">
      <c r="A188" s="138"/>
      <c r="B188" s="139"/>
      <c r="C188" s="140"/>
      <c r="D188" s="138"/>
      <c r="E188" s="139"/>
      <c r="F188" s="140"/>
      <c r="G188" s="138"/>
      <c r="H188" s="139"/>
      <c r="I188" s="140"/>
    </row>
    <row r="189" spans="1:9" x14ac:dyDescent="0.25">
      <c r="A189" s="138"/>
      <c r="B189" s="139"/>
      <c r="C189" s="140"/>
      <c r="D189" s="138"/>
      <c r="E189" s="139"/>
      <c r="F189" s="140"/>
      <c r="G189" s="138"/>
      <c r="H189" s="139"/>
      <c r="I189" s="140"/>
    </row>
    <row r="190" spans="1:9" x14ac:dyDescent="0.25">
      <c r="A190" s="138"/>
      <c r="B190" s="139"/>
      <c r="C190" s="140"/>
      <c r="D190" s="138"/>
      <c r="E190" s="139"/>
      <c r="F190" s="140"/>
      <c r="G190" s="138"/>
      <c r="H190" s="139"/>
      <c r="I190" s="140"/>
    </row>
    <row r="191" spans="1:9" x14ac:dyDescent="0.25">
      <c r="A191" s="138"/>
      <c r="B191" s="139"/>
      <c r="C191" s="140"/>
      <c r="D191" s="138"/>
      <c r="E191" s="139"/>
      <c r="F191" s="140"/>
      <c r="G191" s="138"/>
      <c r="H191" s="139"/>
      <c r="I191" s="140"/>
    </row>
    <row r="192" spans="1:9" x14ac:dyDescent="0.25">
      <c r="A192" s="138"/>
      <c r="B192" s="139"/>
      <c r="C192" s="140"/>
      <c r="D192" s="138"/>
      <c r="E192" s="139"/>
      <c r="F192" s="140"/>
      <c r="G192" s="138"/>
      <c r="H192" s="139"/>
      <c r="I192" s="140"/>
    </row>
    <row r="193" spans="1:9" x14ac:dyDescent="0.25">
      <c r="A193" s="138"/>
      <c r="B193" s="139"/>
      <c r="C193" s="140"/>
      <c r="D193" s="138"/>
      <c r="E193" s="139"/>
      <c r="F193" s="140"/>
      <c r="G193" s="138"/>
      <c r="H193" s="139"/>
      <c r="I193" s="140"/>
    </row>
    <row r="194" spans="1:9" x14ac:dyDescent="0.25">
      <c r="A194" s="138"/>
      <c r="B194" s="139"/>
      <c r="C194" s="140"/>
      <c r="D194" s="138"/>
      <c r="E194" s="139"/>
      <c r="F194" s="140"/>
      <c r="G194" s="138"/>
      <c r="H194" s="139"/>
      <c r="I194" s="140"/>
    </row>
    <row r="195" spans="1:9" x14ac:dyDescent="0.25">
      <c r="A195" s="138"/>
      <c r="B195" s="139"/>
      <c r="C195" s="140"/>
      <c r="D195" s="138"/>
      <c r="E195" s="139"/>
      <c r="F195" s="140"/>
      <c r="G195" s="138"/>
      <c r="H195" s="139"/>
      <c r="I195" s="140"/>
    </row>
    <row r="196" spans="1:9" x14ac:dyDescent="0.25">
      <c r="A196" s="138"/>
      <c r="B196" s="139"/>
      <c r="C196" s="140"/>
      <c r="D196" s="138"/>
      <c r="E196" s="139"/>
      <c r="F196" s="140"/>
      <c r="G196" s="138"/>
      <c r="H196" s="139"/>
      <c r="I196" s="140"/>
    </row>
    <row r="197" spans="1:9" x14ac:dyDescent="0.25">
      <c r="A197" s="138"/>
      <c r="B197" s="139"/>
      <c r="C197" s="140"/>
      <c r="D197" s="138"/>
      <c r="E197" s="139"/>
      <c r="F197" s="140"/>
      <c r="G197" s="138"/>
      <c r="H197" s="139"/>
      <c r="I197" s="140"/>
    </row>
  </sheetData>
  <mergeCells count="340">
    <mergeCell ref="A197:C197"/>
    <mergeCell ref="D197:F197"/>
    <mergeCell ref="G197:I197"/>
    <mergeCell ref="A53:C53"/>
    <mergeCell ref="D53:F53"/>
    <mergeCell ref="A51:I52"/>
    <mergeCell ref="A54:I56"/>
    <mergeCell ref="A57:I58"/>
    <mergeCell ref="A60:I62"/>
    <mergeCell ref="A63:I64"/>
    <mergeCell ref="A66:I68"/>
    <mergeCell ref="A69:I70"/>
    <mergeCell ref="A195:C195"/>
    <mergeCell ref="D195:F195"/>
    <mergeCell ref="G195:I195"/>
    <mergeCell ref="A196:C196"/>
    <mergeCell ref="D196:F196"/>
    <mergeCell ref="G196:I196"/>
    <mergeCell ref="A193:C193"/>
    <mergeCell ref="D193:F193"/>
    <mergeCell ref="G193:I193"/>
    <mergeCell ref="A194:C194"/>
    <mergeCell ref="D194:F194"/>
    <mergeCell ref="G194:I194"/>
    <mergeCell ref="A191:C191"/>
    <mergeCell ref="D191:F191"/>
    <mergeCell ref="G191:I191"/>
    <mergeCell ref="A192:C192"/>
    <mergeCell ref="D192:F192"/>
    <mergeCell ref="G192:I192"/>
    <mergeCell ref="A189:C189"/>
    <mergeCell ref="D189:F189"/>
    <mergeCell ref="G189:I189"/>
    <mergeCell ref="A190:C190"/>
    <mergeCell ref="D190:F190"/>
    <mergeCell ref="G190:I190"/>
    <mergeCell ref="A187:C187"/>
    <mergeCell ref="D187:F187"/>
    <mergeCell ref="G187:I187"/>
    <mergeCell ref="A188:C188"/>
    <mergeCell ref="D188:F188"/>
    <mergeCell ref="G188:I188"/>
    <mergeCell ref="A185:C185"/>
    <mergeCell ref="D185:F185"/>
    <mergeCell ref="G185:I185"/>
    <mergeCell ref="A186:C186"/>
    <mergeCell ref="D186:F186"/>
    <mergeCell ref="G186:I186"/>
    <mergeCell ref="A183:C183"/>
    <mergeCell ref="D183:F183"/>
    <mergeCell ref="G183:I183"/>
    <mergeCell ref="A184:C184"/>
    <mergeCell ref="D184:F184"/>
    <mergeCell ref="G184:I184"/>
    <mergeCell ref="A181:C181"/>
    <mergeCell ref="D181:F181"/>
    <mergeCell ref="G181:I181"/>
    <mergeCell ref="A182:C182"/>
    <mergeCell ref="D182:F182"/>
    <mergeCell ref="G182:I182"/>
    <mergeCell ref="A179:C179"/>
    <mergeCell ref="D179:F179"/>
    <mergeCell ref="G179:I179"/>
    <mergeCell ref="A180:C180"/>
    <mergeCell ref="D180:F180"/>
    <mergeCell ref="G180:I180"/>
    <mergeCell ref="A177:C177"/>
    <mergeCell ref="D177:F177"/>
    <mergeCell ref="G177:I177"/>
    <mergeCell ref="A178:C178"/>
    <mergeCell ref="D178:F178"/>
    <mergeCell ref="G178:I178"/>
    <mergeCell ref="A175:C175"/>
    <mergeCell ref="D175:F175"/>
    <mergeCell ref="G175:I175"/>
    <mergeCell ref="A176:C176"/>
    <mergeCell ref="D176:F176"/>
    <mergeCell ref="G176:I176"/>
    <mergeCell ref="A173:C173"/>
    <mergeCell ref="D173:F173"/>
    <mergeCell ref="G173:I173"/>
    <mergeCell ref="A174:C174"/>
    <mergeCell ref="D174:F174"/>
    <mergeCell ref="G174:I174"/>
    <mergeCell ref="A171:C171"/>
    <mergeCell ref="D171:F171"/>
    <mergeCell ref="G171:I171"/>
    <mergeCell ref="A172:C172"/>
    <mergeCell ref="D172:F172"/>
    <mergeCell ref="G172:I172"/>
    <mergeCell ref="A169:C169"/>
    <mergeCell ref="D169:F169"/>
    <mergeCell ref="G169:I169"/>
    <mergeCell ref="A170:C170"/>
    <mergeCell ref="D170:F170"/>
    <mergeCell ref="G170:I170"/>
    <mergeCell ref="A167:C167"/>
    <mergeCell ref="D167:F167"/>
    <mergeCell ref="G167:I167"/>
    <mergeCell ref="A168:C168"/>
    <mergeCell ref="D168:F168"/>
    <mergeCell ref="G168:I168"/>
    <mergeCell ref="A165:C165"/>
    <mergeCell ref="D165:F165"/>
    <mergeCell ref="G165:I165"/>
    <mergeCell ref="A166:C166"/>
    <mergeCell ref="D166:F166"/>
    <mergeCell ref="G166:I166"/>
    <mergeCell ref="A163:C163"/>
    <mergeCell ref="D163:F163"/>
    <mergeCell ref="G163:I163"/>
    <mergeCell ref="A164:C164"/>
    <mergeCell ref="D164:F164"/>
    <mergeCell ref="G164:I164"/>
    <mergeCell ref="A161:C161"/>
    <mergeCell ref="D161:F161"/>
    <mergeCell ref="G161:I161"/>
    <mergeCell ref="A162:C162"/>
    <mergeCell ref="D162:F162"/>
    <mergeCell ref="G162:I162"/>
    <mergeCell ref="A159:C159"/>
    <mergeCell ref="D159:F159"/>
    <mergeCell ref="G159:I159"/>
    <mergeCell ref="A160:C160"/>
    <mergeCell ref="D160:F160"/>
    <mergeCell ref="G160:I160"/>
    <mergeCell ref="A157:C157"/>
    <mergeCell ref="D157:F157"/>
    <mergeCell ref="G157:I157"/>
    <mergeCell ref="A158:C158"/>
    <mergeCell ref="D158:F158"/>
    <mergeCell ref="G158:I158"/>
    <mergeCell ref="A155:C155"/>
    <mergeCell ref="D155:F155"/>
    <mergeCell ref="G155:I155"/>
    <mergeCell ref="A156:C156"/>
    <mergeCell ref="D156:F156"/>
    <mergeCell ref="G156:I156"/>
    <mergeCell ref="A153:C153"/>
    <mergeCell ref="D153:F153"/>
    <mergeCell ref="G153:I153"/>
    <mergeCell ref="A154:C154"/>
    <mergeCell ref="D154:F154"/>
    <mergeCell ref="G154:I154"/>
    <mergeCell ref="A151:C151"/>
    <mergeCell ref="D151:F151"/>
    <mergeCell ref="G151:I151"/>
    <mergeCell ref="A152:C152"/>
    <mergeCell ref="D152:F152"/>
    <mergeCell ref="G152:I152"/>
    <mergeCell ref="A149:C149"/>
    <mergeCell ref="D149:F149"/>
    <mergeCell ref="G149:I149"/>
    <mergeCell ref="A150:C150"/>
    <mergeCell ref="D150:F150"/>
    <mergeCell ref="G150:I150"/>
    <mergeCell ref="A147:C147"/>
    <mergeCell ref="D147:F147"/>
    <mergeCell ref="G147:I147"/>
    <mergeCell ref="A148:C148"/>
    <mergeCell ref="D148:F148"/>
    <mergeCell ref="G148:I148"/>
    <mergeCell ref="A145:C145"/>
    <mergeCell ref="D145:F145"/>
    <mergeCell ref="G145:I145"/>
    <mergeCell ref="A146:C146"/>
    <mergeCell ref="D146:F146"/>
    <mergeCell ref="G146:I146"/>
    <mergeCell ref="A144:C144"/>
    <mergeCell ref="D144:F144"/>
    <mergeCell ref="G144:I144"/>
    <mergeCell ref="A139:B139"/>
    <mergeCell ref="C139:D139"/>
    <mergeCell ref="E139:F139"/>
    <mergeCell ref="H139:I139"/>
    <mergeCell ref="A140:B140"/>
    <mergeCell ref="C140:D140"/>
    <mergeCell ref="E140:F140"/>
    <mergeCell ref="H140:I140"/>
    <mergeCell ref="A141:B141"/>
    <mergeCell ref="C141:D141"/>
    <mergeCell ref="E141:F141"/>
    <mergeCell ref="H141:I141"/>
    <mergeCell ref="A142:B142"/>
    <mergeCell ref="C142:D142"/>
    <mergeCell ref="E142:F142"/>
    <mergeCell ref="H142:I142"/>
    <mergeCell ref="A143:B143"/>
    <mergeCell ref="C143:D143"/>
    <mergeCell ref="E143:F143"/>
    <mergeCell ref="H143:I143"/>
    <mergeCell ref="A137:B137"/>
    <mergeCell ref="C137:D137"/>
    <mergeCell ref="E137:F137"/>
    <mergeCell ref="H137:I137"/>
    <mergeCell ref="A134:B134"/>
    <mergeCell ref="C134:D134"/>
    <mergeCell ref="E134:F134"/>
    <mergeCell ref="H134:I134"/>
    <mergeCell ref="A135:B135"/>
    <mergeCell ref="C135:D135"/>
    <mergeCell ref="E135:F135"/>
    <mergeCell ref="H135:I135"/>
    <mergeCell ref="A136:B136"/>
    <mergeCell ref="C136:D136"/>
    <mergeCell ref="E136:F136"/>
    <mergeCell ref="H136:I136"/>
    <mergeCell ref="A131:B131"/>
    <mergeCell ref="C131:D131"/>
    <mergeCell ref="E131:F131"/>
    <mergeCell ref="H131:I131"/>
    <mergeCell ref="A132:B132"/>
    <mergeCell ref="C132:D132"/>
    <mergeCell ref="E132:F132"/>
    <mergeCell ref="H132:I132"/>
    <mergeCell ref="A133:B133"/>
    <mergeCell ref="C133:D133"/>
    <mergeCell ref="E133:F133"/>
    <mergeCell ref="H133:I133"/>
    <mergeCell ref="A123:B123"/>
    <mergeCell ref="C123:D123"/>
    <mergeCell ref="E123:F123"/>
    <mergeCell ref="H123:I123"/>
    <mergeCell ref="A124:B124"/>
    <mergeCell ref="C124:D124"/>
    <mergeCell ref="E124:F124"/>
    <mergeCell ref="H124:I124"/>
    <mergeCell ref="A125:B125"/>
    <mergeCell ref="C125:D125"/>
    <mergeCell ref="E125:F125"/>
    <mergeCell ref="H125:I125"/>
    <mergeCell ref="H112:I112"/>
    <mergeCell ref="A113:I120"/>
    <mergeCell ref="A121:B121"/>
    <mergeCell ref="C121:D121"/>
    <mergeCell ref="E121:F121"/>
    <mergeCell ref="H121:I121"/>
    <mergeCell ref="A122:B122"/>
    <mergeCell ref="C122:D122"/>
    <mergeCell ref="E122:F122"/>
    <mergeCell ref="H122:I122"/>
    <mergeCell ref="A95:C95"/>
    <mergeCell ref="D95:F95"/>
    <mergeCell ref="G95:I95"/>
    <mergeCell ref="A96:C96"/>
    <mergeCell ref="D96:F96"/>
    <mergeCell ref="G96:I96"/>
    <mergeCell ref="A97:E97"/>
    <mergeCell ref="F97:H97"/>
    <mergeCell ref="A98:I111"/>
    <mergeCell ref="A93:C93"/>
    <mergeCell ref="D93:F93"/>
    <mergeCell ref="G93:I93"/>
    <mergeCell ref="A94:C94"/>
    <mergeCell ref="D94:F94"/>
    <mergeCell ref="G94:I94"/>
    <mergeCell ref="A91:C91"/>
    <mergeCell ref="D91:F91"/>
    <mergeCell ref="G91:I91"/>
    <mergeCell ref="A92:C92"/>
    <mergeCell ref="D92:F92"/>
    <mergeCell ref="G92:I92"/>
    <mergeCell ref="A90:C90"/>
    <mergeCell ref="D90:F90"/>
    <mergeCell ref="G90:I90"/>
    <mergeCell ref="A88:I89"/>
    <mergeCell ref="A85:I87"/>
    <mergeCell ref="A83:I84"/>
    <mergeCell ref="A81:C81"/>
    <mergeCell ref="D81:F81"/>
    <mergeCell ref="G81:I81"/>
    <mergeCell ref="G82:I82"/>
    <mergeCell ref="A82:F82"/>
    <mergeCell ref="A78:I80"/>
    <mergeCell ref="A77:C77"/>
    <mergeCell ref="D77:F77"/>
    <mergeCell ref="G77:I77"/>
    <mergeCell ref="A75:I76"/>
    <mergeCell ref="A72:I74"/>
    <mergeCell ref="A65:C65"/>
    <mergeCell ref="D65:F65"/>
    <mergeCell ref="G65:I65"/>
    <mergeCell ref="A71:C71"/>
    <mergeCell ref="D71:F71"/>
    <mergeCell ref="G71:I71"/>
    <mergeCell ref="A59:C59"/>
    <mergeCell ref="D59:F59"/>
    <mergeCell ref="G59:I59"/>
    <mergeCell ref="G53:I53"/>
    <mergeCell ref="A49:I50"/>
    <mergeCell ref="A11:B11"/>
    <mergeCell ref="A12:B12"/>
    <mergeCell ref="A13:B13"/>
    <mergeCell ref="A7:C7"/>
    <mergeCell ref="A47:D47"/>
    <mergeCell ref="E47:G47"/>
    <mergeCell ref="H47:I48"/>
    <mergeCell ref="A48:D48"/>
    <mergeCell ref="E48:G48"/>
    <mergeCell ref="A5:C5"/>
    <mergeCell ref="A1:H1"/>
    <mergeCell ref="A3:C3"/>
    <mergeCell ref="D3:G3"/>
    <mergeCell ref="A36:A39"/>
    <mergeCell ref="A16:C16"/>
    <mergeCell ref="A18:B18"/>
    <mergeCell ref="A20:A23"/>
    <mergeCell ref="A24:A27"/>
    <mergeCell ref="A28:A31"/>
    <mergeCell ref="A32:A35"/>
    <mergeCell ref="A14:B14"/>
    <mergeCell ref="A4:C4"/>
    <mergeCell ref="D5:G5"/>
    <mergeCell ref="D7:E7"/>
    <mergeCell ref="A9:C9"/>
    <mergeCell ref="A10:B10"/>
    <mergeCell ref="A138:B138"/>
    <mergeCell ref="C138:D138"/>
    <mergeCell ref="E138:F138"/>
    <mergeCell ref="H138:I138"/>
    <mergeCell ref="A126:B126"/>
    <mergeCell ref="C126:D126"/>
    <mergeCell ref="E126:F126"/>
    <mergeCell ref="H126:I126"/>
    <mergeCell ref="A127:B127"/>
    <mergeCell ref="C127:D127"/>
    <mergeCell ref="E127:F127"/>
    <mergeCell ref="H127:I127"/>
    <mergeCell ref="A128:B128"/>
    <mergeCell ref="C128:D128"/>
    <mergeCell ref="E128:F128"/>
    <mergeCell ref="H128:I128"/>
    <mergeCell ref="A129:B129"/>
    <mergeCell ref="C129:D129"/>
    <mergeCell ref="E129:F129"/>
    <mergeCell ref="H129:I129"/>
    <mergeCell ref="A130:B130"/>
    <mergeCell ref="C130:D130"/>
    <mergeCell ref="E130:F130"/>
    <mergeCell ref="H130:I130"/>
  </mergeCells>
  <conditionalFormatting sqref="A1:H1">
    <cfRule type="expression" dxfId="1" priority="3">
      <formula>A1="Hombre"</formula>
    </cfRule>
  </conditionalFormatting>
  <conditionalFormatting sqref="A1:I2 H3:I7 A8:I46">
    <cfRule type="expression" dxfId="0" priority="2">
      <formula>$G7="Hombre"</formula>
    </cfRule>
  </conditionalFormatting>
  <dataValidations count="1">
    <dataValidation type="list" allowBlank="1" showInputMessage="1" showErrorMessage="1" sqref="A88:I89">
      <formula1>Conclusión</formula1>
    </dataValidation>
  </dataValidations>
  <pageMargins left="0.7" right="0.7" top="0.75" bottom="0.75" header="0.3" footer="0.3"/>
  <pageSetup paperSize="9" orientation="portrait" horizontalDpi="4294967292" r:id="rId1"/>
  <headerFooter>
    <oddHeader>&amp;LSantiago Montecatine Olmo&amp;CGabinete psicológico&amp;RUnifranz</oddHead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22</vt:i4>
      </vt:variant>
    </vt:vector>
  </HeadingPairs>
  <TitlesOfParts>
    <vt:vector size="28" baseType="lpstr">
      <vt:lpstr>Datos</vt:lpstr>
      <vt:lpstr>cal_mas</vt:lpstr>
      <vt:lpstr>Interpretación</vt:lpstr>
      <vt:lpstr>cal_fem</vt:lpstr>
      <vt:lpstr>Ficha_H</vt:lpstr>
      <vt:lpstr>Ficha_M</vt:lpstr>
      <vt:lpstr>cal_fem!AE</vt:lpstr>
      <vt:lpstr>AE</vt:lpstr>
      <vt:lpstr>Conclusión</vt:lpstr>
      <vt:lpstr>cal_fem!Distor</vt:lpstr>
      <vt:lpstr>Distor</vt:lpstr>
      <vt:lpstr>distorf</vt:lpstr>
      <vt:lpstr>Distorf2</vt:lpstr>
      <vt:lpstr>cal_fem!FACT</vt:lpstr>
      <vt:lpstr>FACT</vt:lpstr>
      <vt:lpstr>cal_fem!FACT2</vt:lpstr>
      <vt:lpstr>FACT2</vt:lpstr>
      <vt:lpstr>FactF</vt:lpstr>
      <vt:lpstr>FEM</vt:lpstr>
      <vt:lpstr>cal_fem!H</vt:lpstr>
      <vt:lpstr>H</vt:lpstr>
      <vt:lpstr>cal_fem!N</vt:lpstr>
      <vt:lpstr>N</vt:lpstr>
      <vt:lpstr>cal_fem!suj</vt:lpstr>
      <vt:lpstr>suj</vt:lpstr>
      <vt:lpstr>cal_fem!sujeto</vt:lpstr>
      <vt:lpstr>sujeto</vt:lpstr>
      <vt:lpstr>sujf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Carmen</dc:creator>
  <cp:lastModifiedBy>JEF-PSI</cp:lastModifiedBy>
  <cp:lastPrinted>2022-04-14T22:41:58Z</cp:lastPrinted>
  <dcterms:created xsi:type="dcterms:W3CDTF">2020-05-16T02:46:19Z</dcterms:created>
  <dcterms:modified xsi:type="dcterms:W3CDTF">2022-04-14T23:42:44Z</dcterms:modified>
</cp:coreProperties>
</file>